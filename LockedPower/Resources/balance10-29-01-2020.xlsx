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Programms\С# Progs\DIPLOM\LockedPower\Resources\"/>
    </mc:Choice>
  </mc:AlternateContent>
  <bookViews>
    <workbookView xWindow="0" yWindow="0" windowWidth="28800" windowHeight="11865"/>
  </bookViews>
  <sheets>
    <sheet name="Баланс мощности" sheetId="1" r:id="rId1"/>
  </sheets>
  <definedNames>
    <definedName name="_xlnm.Print_Titles" localSheetId="0">'Баланс мощности'!$2:$3</definedName>
  </definedNames>
  <calcPr calcId="162913"/>
</workbook>
</file>

<file path=xl/calcChain.xml><?xml version="1.0" encoding="utf-8"?>
<calcChain xmlns="http://schemas.openxmlformats.org/spreadsheetml/2006/main">
  <c r="H4" i="1" l="1"/>
  <c r="M4" i="1"/>
  <c r="N4" i="1"/>
  <c r="O4" i="1"/>
  <c r="Q4" i="1"/>
  <c r="P4" i="1"/>
  <c r="O61" i="1" l="1"/>
  <c r="O80" i="1"/>
  <c r="F52" i="1" l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F46" i="1" l="1"/>
  <c r="F43" i="1" s="1"/>
  <c r="H43" i="1"/>
  <c r="L43" i="1"/>
  <c r="Q113" i="1" l="1"/>
  <c r="Q112" i="1"/>
  <c r="Q108" i="1"/>
  <c r="V142" i="1" l="1"/>
  <c r="R142" i="1"/>
  <c r="F142" i="1"/>
  <c r="E142" i="1"/>
  <c r="W140" i="1"/>
  <c r="U138" i="1"/>
  <c r="T138" i="1"/>
  <c r="S138" i="1"/>
  <c r="P138" i="1"/>
  <c r="O138" i="1"/>
  <c r="N138" i="1"/>
  <c r="M138" i="1"/>
  <c r="L138" i="1"/>
  <c r="K138" i="1"/>
  <c r="J138" i="1"/>
  <c r="I138" i="1"/>
  <c r="V130" i="1"/>
  <c r="V138" i="1" s="1"/>
  <c r="R130" i="1"/>
  <c r="R138" i="1" s="1"/>
  <c r="H130" i="1"/>
  <c r="H138" i="1" s="1"/>
  <c r="F130" i="1"/>
  <c r="F138" i="1" s="1"/>
  <c r="E130" i="1"/>
  <c r="E138" i="1" s="1"/>
  <c r="J129" i="1"/>
  <c r="W127" i="1"/>
  <c r="E116" i="1"/>
  <c r="Q123" i="1"/>
  <c r="G123" i="1"/>
  <c r="Q122" i="1"/>
  <c r="G122" i="1"/>
  <c r="V107" i="1"/>
  <c r="R107" i="1"/>
  <c r="F107" i="1"/>
  <c r="E107" i="1"/>
  <c r="Q115" i="1"/>
  <c r="G115" i="1"/>
  <c r="Q114" i="1"/>
  <c r="G114" i="1"/>
  <c r="G113" i="1"/>
  <c r="G112" i="1"/>
  <c r="E17" i="1"/>
  <c r="Q28" i="1" l="1"/>
  <c r="G28" i="1"/>
  <c r="Q27" i="1"/>
  <c r="G27" i="1"/>
  <c r="Q26" i="1"/>
  <c r="G26" i="1"/>
  <c r="Q25" i="1"/>
  <c r="G25" i="1"/>
  <c r="Q24" i="1"/>
  <c r="G24" i="1"/>
  <c r="Q23" i="1"/>
  <c r="G23" i="1"/>
  <c r="Z47" i="1" l="1"/>
  <c r="H106" i="1" l="1"/>
  <c r="H105" i="1"/>
  <c r="H104" i="1"/>
  <c r="H103" i="1"/>
  <c r="H82" i="1"/>
  <c r="H81" i="1"/>
  <c r="H60" i="1"/>
  <c r="H59" i="1"/>
  <c r="H58" i="1" s="1"/>
  <c r="H16" i="1"/>
  <c r="H9" i="1"/>
  <c r="H139" i="1" l="1"/>
  <c r="H107" i="1"/>
  <c r="Q111" i="1"/>
  <c r="Q142" i="1" s="1"/>
  <c r="G111" i="1"/>
  <c r="G142" i="1" s="1"/>
  <c r="Q85" i="1" l="1"/>
  <c r="Q84" i="1" s="1"/>
  <c r="V84" i="1"/>
  <c r="T84" i="1"/>
  <c r="S84" i="1"/>
  <c r="R84" i="1"/>
  <c r="P84" i="1"/>
  <c r="O84" i="1"/>
  <c r="N84" i="1"/>
  <c r="M84" i="1"/>
  <c r="L84" i="1"/>
  <c r="K84" i="1"/>
  <c r="J84" i="1"/>
  <c r="I84" i="1"/>
  <c r="H84" i="1"/>
  <c r="F84" i="1"/>
  <c r="E84" i="1"/>
  <c r="Q56" i="1" l="1"/>
  <c r="Q130" i="1" s="1"/>
  <c r="Q138" i="1" s="1"/>
  <c r="Z130" i="1" l="1"/>
  <c r="G57" i="1"/>
  <c r="Q79" i="1" l="1"/>
  <c r="G70" i="1"/>
  <c r="Z79" i="1" l="1"/>
  <c r="Z131" i="1"/>
  <c r="Z132" i="1"/>
  <c r="Z133" i="1"/>
  <c r="Z134" i="1"/>
  <c r="Z135" i="1"/>
  <c r="E33" i="1"/>
  <c r="Q46" i="1"/>
  <c r="Z46" i="1" s="1"/>
  <c r="G46" i="1"/>
  <c r="I147" i="1" l="1"/>
  <c r="G147" i="1"/>
  <c r="I146" i="1"/>
  <c r="G146" i="1"/>
  <c r="Z56" i="1" l="1"/>
  <c r="G56" i="1"/>
  <c r="G130" i="1" s="1"/>
  <c r="G138" i="1" s="1"/>
  <c r="J62" i="1" l="1"/>
  <c r="J63" i="1"/>
  <c r="N63" i="1" l="1"/>
  <c r="M63" i="1"/>
  <c r="N62" i="1"/>
  <c r="M62" i="1"/>
  <c r="L63" i="1"/>
  <c r="K63" i="1"/>
  <c r="L62" i="1"/>
  <c r="K62" i="1"/>
  <c r="I63" i="1"/>
  <c r="I62" i="1"/>
  <c r="E87" i="1" l="1"/>
  <c r="Q100" i="1"/>
  <c r="Z100" i="1" s="1"/>
  <c r="G100" i="1"/>
  <c r="V63" i="1"/>
  <c r="S62" i="1"/>
  <c r="U63" i="1"/>
  <c r="T63" i="1"/>
  <c r="R63" i="1"/>
  <c r="P63" i="1"/>
  <c r="O63" i="1"/>
  <c r="H63" i="1"/>
  <c r="E63" i="1"/>
  <c r="U80" i="1"/>
  <c r="R80" i="1"/>
  <c r="P80" i="1"/>
  <c r="N80" i="1"/>
  <c r="M80" i="1"/>
  <c r="L80" i="1"/>
  <c r="K80" i="1"/>
  <c r="I80" i="1"/>
  <c r="H80" i="1"/>
  <c r="E80" i="1"/>
  <c r="Q83" i="1"/>
  <c r="Z83" i="1" s="1"/>
  <c r="G83" i="1"/>
  <c r="Q82" i="1"/>
  <c r="T62" i="1" l="1"/>
  <c r="S63" i="1" l="1"/>
  <c r="R17" i="1" l="1"/>
  <c r="S17" i="1"/>
  <c r="T17" i="1"/>
  <c r="V17" i="1"/>
  <c r="Z138" i="1" l="1"/>
  <c r="V61" i="1"/>
  <c r="V116" i="1" l="1"/>
  <c r="V102" i="1"/>
  <c r="V143" i="1" s="1"/>
  <c r="V87" i="1" l="1"/>
  <c r="V86" i="1"/>
  <c r="V140" i="1" s="1"/>
  <c r="V141" i="1" s="1"/>
  <c r="V33" i="1" l="1"/>
  <c r="T33" i="1"/>
  <c r="G126" i="1"/>
  <c r="G125" i="1"/>
  <c r="G124" i="1"/>
  <c r="G121" i="1"/>
  <c r="G120" i="1"/>
  <c r="G119" i="1"/>
  <c r="G118" i="1"/>
  <c r="G117" i="1"/>
  <c r="G110" i="1"/>
  <c r="G109" i="1"/>
  <c r="G108" i="1"/>
  <c r="G101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84" i="1" s="1"/>
  <c r="G79" i="1"/>
  <c r="G78" i="1"/>
  <c r="G76" i="1"/>
  <c r="G75" i="1"/>
  <c r="G74" i="1"/>
  <c r="G73" i="1"/>
  <c r="G72" i="1"/>
  <c r="G71" i="1"/>
  <c r="G69" i="1"/>
  <c r="G68" i="1"/>
  <c r="G67" i="1"/>
  <c r="G66" i="1"/>
  <c r="G65" i="1"/>
  <c r="G55" i="1"/>
  <c r="G53" i="1"/>
  <c r="G52" i="1"/>
  <c r="G51" i="1"/>
  <c r="G50" i="1"/>
  <c r="G49" i="1"/>
  <c r="G36" i="1"/>
  <c r="G47" i="1"/>
  <c r="G45" i="1"/>
  <c r="G44" i="1"/>
  <c r="G43" i="1"/>
  <c r="G42" i="1"/>
  <c r="G41" i="1"/>
  <c r="G40" i="1"/>
  <c r="G39" i="1"/>
  <c r="G38" i="1"/>
  <c r="G37" i="1"/>
  <c r="G35" i="1"/>
  <c r="G34" i="1"/>
  <c r="G32" i="1"/>
  <c r="G31" i="1"/>
  <c r="G22" i="1"/>
  <c r="G21" i="1"/>
  <c r="G20" i="1"/>
  <c r="G19" i="1"/>
  <c r="G18" i="1"/>
  <c r="G15" i="1"/>
  <c r="G14" i="1"/>
  <c r="G13" i="1"/>
  <c r="G12" i="1"/>
  <c r="G11" i="1"/>
  <c r="G6" i="1"/>
  <c r="G7" i="1"/>
  <c r="G8" i="1"/>
  <c r="G5" i="1"/>
  <c r="G17" i="1" l="1"/>
  <c r="V48" i="1"/>
  <c r="V58" i="1"/>
  <c r="U58" i="1"/>
  <c r="U139" i="1" l="1"/>
  <c r="V139" i="1"/>
  <c r="V129" i="1"/>
  <c r="V54" i="1"/>
  <c r="V10" i="1"/>
  <c r="V9" i="1"/>
  <c r="V4" i="1"/>
  <c r="W62" i="1"/>
  <c r="W136" i="1" s="1"/>
  <c r="U62" i="1"/>
  <c r="E64" i="1"/>
  <c r="F64" i="1"/>
  <c r="H64" i="1"/>
  <c r="I64" i="1"/>
  <c r="J64" i="1"/>
  <c r="K64" i="1"/>
  <c r="L64" i="1"/>
  <c r="M64" i="1"/>
  <c r="N64" i="1"/>
  <c r="O64" i="1"/>
  <c r="P64" i="1"/>
  <c r="Q65" i="1"/>
  <c r="Z65" i="1" s="1"/>
  <c r="Q66" i="1"/>
  <c r="Z66" i="1" s="1"/>
  <c r="Q67" i="1"/>
  <c r="Z67" i="1" s="1"/>
  <c r="Q68" i="1"/>
  <c r="Z68" i="1" s="1"/>
  <c r="Q69" i="1"/>
  <c r="Z69" i="1" s="1"/>
  <c r="Q70" i="1"/>
  <c r="Z70" i="1" s="1"/>
  <c r="Q71" i="1"/>
  <c r="Z71" i="1" s="1"/>
  <c r="Q72" i="1"/>
  <c r="Z72" i="1" s="1"/>
  <c r="Q73" i="1"/>
  <c r="Z73" i="1" s="1"/>
  <c r="Q74" i="1"/>
  <c r="Z74" i="1" s="1"/>
  <c r="Q75" i="1"/>
  <c r="Z75" i="1" s="1"/>
  <c r="Q76" i="1"/>
  <c r="Z76" i="1" s="1"/>
  <c r="Q78" i="1"/>
  <c r="Z78" i="1" s="1"/>
  <c r="Q81" i="1"/>
  <c r="V127" i="1" l="1"/>
  <c r="V128" i="1" s="1"/>
  <c r="Q80" i="1"/>
  <c r="Q63" i="1"/>
  <c r="G64" i="1"/>
  <c r="E61" i="1"/>
  <c r="Q64" i="1"/>
  <c r="Z64" i="1" s="1"/>
  <c r="Q42" i="1" l="1"/>
  <c r="Z42" i="1" s="1"/>
  <c r="Q41" i="1"/>
  <c r="Z41" i="1" s="1"/>
  <c r="H61" i="1" l="1"/>
  <c r="N61" i="1" l="1"/>
  <c r="M61" i="1"/>
  <c r="L61" i="1"/>
  <c r="K61" i="1"/>
  <c r="J61" i="1"/>
  <c r="I61" i="1"/>
  <c r="F87" i="1" l="1"/>
  <c r="F10" i="1"/>
  <c r="E10" i="1"/>
  <c r="Q16" i="1"/>
  <c r="Q104" i="1"/>
  <c r="T64" i="1"/>
  <c r="S64" i="1"/>
  <c r="R64" i="1"/>
  <c r="R61" i="1"/>
  <c r="Q119" i="1"/>
  <c r="Z119" i="1" s="1"/>
  <c r="Q118" i="1"/>
  <c r="Z118" i="1" s="1"/>
  <c r="Q117" i="1"/>
  <c r="Z117" i="1" s="1"/>
  <c r="Q110" i="1"/>
  <c r="Z111" i="1"/>
  <c r="Q5" i="1"/>
  <c r="Z5" i="1" s="1"/>
  <c r="Q6" i="1"/>
  <c r="Z6" i="1" s="1"/>
  <c r="J54" i="1"/>
  <c r="S54" i="1"/>
  <c r="T54" i="1"/>
  <c r="F17" i="1"/>
  <c r="H17" i="1"/>
  <c r="O17" i="1"/>
  <c r="P17" i="1"/>
  <c r="Q51" i="1"/>
  <c r="Z51" i="1" s="1"/>
  <c r="S61" i="1"/>
  <c r="T48" i="1"/>
  <c r="H48" i="1"/>
  <c r="F48" i="1"/>
  <c r="G48" i="1"/>
  <c r="P48" i="1"/>
  <c r="R48" i="1"/>
  <c r="S48" i="1"/>
  <c r="E48" i="1"/>
  <c r="F116" i="1"/>
  <c r="S116" i="1"/>
  <c r="J116" i="1"/>
  <c r="K116" i="1"/>
  <c r="L116" i="1"/>
  <c r="M116" i="1"/>
  <c r="I116" i="1"/>
  <c r="H116" i="1"/>
  <c r="N116" i="1"/>
  <c r="O116" i="1"/>
  <c r="P116" i="1"/>
  <c r="R116" i="1"/>
  <c r="T116" i="1"/>
  <c r="J48" i="1"/>
  <c r="K48" i="1"/>
  <c r="L48" i="1"/>
  <c r="O48" i="1"/>
  <c r="M48" i="1"/>
  <c r="N48" i="1"/>
  <c r="I48" i="1"/>
  <c r="N17" i="1"/>
  <c r="M17" i="1"/>
  <c r="L17" i="1"/>
  <c r="K17" i="1"/>
  <c r="J17" i="1"/>
  <c r="I17" i="1"/>
  <c r="Q22" i="1"/>
  <c r="Q53" i="1"/>
  <c r="Z53" i="1" s="1"/>
  <c r="Q32" i="1"/>
  <c r="Q31" i="1"/>
  <c r="U102" i="1"/>
  <c r="O107" i="1"/>
  <c r="U9" i="1"/>
  <c r="T9" i="1"/>
  <c r="S9" i="1"/>
  <c r="R9" i="1"/>
  <c r="P9" i="1"/>
  <c r="O9" i="1"/>
  <c r="N9" i="1"/>
  <c r="M9" i="1"/>
  <c r="L9" i="1"/>
  <c r="K9" i="1"/>
  <c r="J9" i="1"/>
  <c r="I9" i="1"/>
  <c r="E9" i="1"/>
  <c r="E102" i="1"/>
  <c r="E143" i="1" s="1"/>
  <c r="H102" i="1"/>
  <c r="I102" i="1"/>
  <c r="I143" i="1" s="1"/>
  <c r="K102" i="1"/>
  <c r="K143" i="1" s="1"/>
  <c r="L102" i="1"/>
  <c r="L143" i="1" s="1"/>
  <c r="M102" i="1"/>
  <c r="M143" i="1" s="1"/>
  <c r="N102" i="1"/>
  <c r="N143" i="1" s="1"/>
  <c r="O102" i="1"/>
  <c r="O143" i="1" s="1"/>
  <c r="P102" i="1"/>
  <c r="P143" i="1" s="1"/>
  <c r="R102" i="1"/>
  <c r="R143" i="1" s="1"/>
  <c r="T87" i="1"/>
  <c r="T86" i="1"/>
  <c r="T140" i="1" s="1"/>
  <c r="T141" i="1" s="1"/>
  <c r="S87" i="1"/>
  <c r="S86" i="1"/>
  <c r="R87" i="1"/>
  <c r="Q106" i="1"/>
  <c r="Q105" i="1"/>
  <c r="Q103" i="1"/>
  <c r="Q101" i="1"/>
  <c r="Z101" i="1" s="1"/>
  <c r="Q99" i="1"/>
  <c r="Z99" i="1" s="1"/>
  <c r="Q98" i="1"/>
  <c r="Z98" i="1" s="1"/>
  <c r="Q97" i="1"/>
  <c r="Z97" i="1" s="1"/>
  <c r="Q96" i="1"/>
  <c r="Z96" i="1" s="1"/>
  <c r="Q95" i="1"/>
  <c r="Z95" i="1" s="1"/>
  <c r="Q94" i="1"/>
  <c r="Z94" i="1" s="1"/>
  <c r="Q93" i="1"/>
  <c r="Z93" i="1" s="1"/>
  <c r="Q92" i="1"/>
  <c r="Z92" i="1" s="1"/>
  <c r="Q91" i="1"/>
  <c r="Z91" i="1" s="1"/>
  <c r="Q90" i="1"/>
  <c r="Z90" i="1" s="1"/>
  <c r="Q89" i="1"/>
  <c r="Z89" i="1" s="1"/>
  <c r="Q88" i="1"/>
  <c r="Z88" i="1" s="1"/>
  <c r="P87" i="1"/>
  <c r="O87" i="1"/>
  <c r="N87" i="1"/>
  <c r="M87" i="1"/>
  <c r="L87" i="1"/>
  <c r="K87" i="1"/>
  <c r="J87" i="1"/>
  <c r="J86" i="1"/>
  <c r="I87" i="1"/>
  <c r="H87" i="1"/>
  <c r="Z85" i="1"/>
  <c r="P61" i="1"/>
  <c r="T61" i="1"/>
  <c r="E58" i="1"/>
  <c r="I58" i="1"/>
  <c r="K58" i="1"/>
  <c r="L58" i="1"/>
  <c r="M58" i="1"/>
  <c r="N58" i="1"/>
  <c r="O58" i="1"/>
  <c r="P58" i="1"/>
  <c r="Q50" i="1"/>
  <c r="Z50" i="1" s="1"/>
  <c r="Q49" i="1"/>
  <c r="Z49" i="1" s="1"/>
  <c r="K33" i="1"/>
  <c r="Q47" i="1"/>
  <c r="Q45" i="1"/>
  <c r="Z45" i="1" s="1"/>
  <c r="Q44" i="1"/>
  <c r="Z44" i="1" s="1"/>
  <c r="Q43" i="1"/>
  <c r="Z43" i="1" s="1"/>
  <c r="Q40" i="1"/>
  <c r="Z40" i="1" s="1"/>
  <c r="Q38" i="1"/>
  <c r="Z38" i="1" s="1"/>
  <c r="Q36" i="1"/>
  <c r="Z36" i="1" s="1"/>
  <c r="Q35" i="1"/>
  <c r="Z35" i="1" s="1"/>
  <c r="Q34" i="1"/>
  <c r="Z34" i="1" s="1"/>
  <c r="S33" i="1"/>
  <c r="R33" i="1"/>
  <c r="P33" i="1"/>
  <c r="O33" i="1"/>
  <c r="N33" i="1"/>
  <c r="M33" i="1"/>
  <c r="L33" i="1"/>
  <c r="J33" i="1"/>
  <c r="H33" i="1"/>
  <c r="G33" i="1"/>
  <c r="F33" i="1"/>
  <c r="Q21" i="1"/>
  <c r="Q20" i="1"/>
  <c r="Q19" i="1"/>
  <c r="Z19" i="1" s="1"/>
  <c r="Q18" i="1"/>
  <c r="Z18" i="1" s="1"/>
  <c r="T10" i="1"/>
  <c r="S10" i="1"/>
  <c r="R10" i="1"/>
  <c r="Q15" i="1"/>
  <c r="Z15" i="1" s="1"/>
  <c r="Q14" i="1"/>
  <c r="Z14" i="1" s="1"/>
  <c r="Q13" i="1"/>
  <c r="Z13" i="1" s="1"/>
  <c r="Q12" i="1"/>
  <c r="Z12" i="1" s="1"/>
  <c r="Q11" i="1"/>
  <c r="Z11" i="1" s="1"/>
  <c r="P10" i="1"/>
  <c r="O10" i="1"/>
  <c r="N10" i="1"/>
  <c r="M10" i="1"/>
  <c r="L10" i="1"/>
  <c r="K10" i="1"/>
  <c r="J10" i="1"/>
  <c r="I10" i="1"/>
  <c r="H10" i="1"/>
  <c r="Q8" i="1"/>
  <c r="Z8" i="1" s="1"/>
  <c r="Q7" i="1"/>
  <c r="Z7" i="1" s="1"/>
  <c r="T4" i="1"/>
  <c r="S4" i="1"/>
  <c r="R4" i="1"/>
  <c r="L4" i="1"/>
  <c r="K4" i="1"/>
  <c r="J4" i="1"/>
  <c r="I4" i="1"/>
  <c r="F4" i="1"/>
  <c r="E4" i="1"/>
  <c r="G107" i="1"/>
  <c r="T107" i="1"/>
  <c r="S107" i="1"/>
  <c r="J107" i="1"/>
  <c r="Z108" i="1"/>
  <c r="Q109" i="1"/>
  <c r="Q120" i="1"/>
  <c r="Z120" i="1" s="1"/>
  <c r="Q121" i="1"/>
  <c r="Z121" i="1" s="1"/>
  <c r="Q125" i="1"/>
  <c r="Z125" i="1" s="1"/>
  <c r="Q126" i="1"/>
  <c r="Z126" i="1" s="1"/>
  <c r="P107" i="1"/>
  <c r="N107" i="1"/>
  <c r="M107" i="1"/>
  <c r="L107" i="1"/>
  <c r="K107" i="1"/>
  <c r="I107" i="1"/>
  <c r="R58" i="1"/>
  <c r="Q37" i="1"/>
  <c r="Z37" i="1" s="1"/>
  <c r="Q39" i="1"/>
  <c r="Z39" i="1" s="1"/>
  <c r="Q55" i="1"/>
  <c r="Z55" i="1" s="1"/>
  <c r="Q57" i="1"/>
  <c r="Z57" i="1" s="1"/>
  <c r="I33" i="1"/>
  <c r="Y127" i="1"/>
  <c r="X127" i="1"/>
  <c r="D150" i="1" s="1"/>
  <c r="Q60" i="1"/>
  <c r="Q59" i="1"/>
  <c r="Q52" i="1"/>
  <c r="Z52" i="1" s="1"/>
  <c r="U54" i="1"/>
  <c r="Q58" i="1"/>
  <c r="G4" i="1"/>
  <c r="Q61" i="1"/>
  <c r="J136" i="1" l="1"/>
  <c r="J137" i="1" s="1"/>
  <c r="J127" i="1"/>
  <c r="J128" i="1" s="1"/>
  <c r="N139" i="1"/>
  <c r="N129" i="1"/>
  <c r="I129" i="1"/>
  <c r="I139" i="1"/>
  <c r="J140" i="1"/>
  <c r="J141" i="1" s="1"/>
  <c r="U86" i="1"/>
  <c r="U140" i="1" s="1"/>
  <c r="U143" i="1" s="1"/>
  <c r="U129" i="1"/>
  <c r="Z109" i="1"/>
  <c r="Q107" i="1"/>
  <c r="L136" i="1"/>
  <c r="L137" i="1" s="1"/>
  <c r="L127" i="1"/>
  <c r="L128" i="1" s="1"/>
  <c r="S136" i="1"/>
  <c r="S137" i="1" s="1"/>
  <c r="S127" i="1"/>
  <c r="S128" i="1" s="1"/>
  <c r="P139" i="1"/>
  <c r="P129" i="1"/>
  <c r="L139" i="1"/>
  <c r="L129" i="1"/>
  <c r="E129" i="1"/>
  <c r="E139" i="1"/>
  <c r="S140" i="1"/>
  <c r="S141" i="1" s="1"/>
  <c r="H143" i="1"/>
  <c r="H129" i="1"/>
  <c r="U136" i="1"/>
  <c r="Q139" i="1"/>
  <c r="M139" i="1"/>
  <c r="M129" i="1"/>
  <c r="R129" i="1"/>
  <c r="R139" i="1"/>
  <c r="T136" i="1"/>
  <c r="T137" i="1" s="1"/>
  <c r="T127" i="1"/>
  <c r="T128" i="1" s="1"/>
  <c r="O139" i="1"/>
  <c r="O129" i="1"/>
  <c r="K139" i="1"/>
  <c r="K129" i="1"/>
  <c r="Z110" i="1"/>
  <c r="Z142" i="1"/>
  <c r="P86" i="1"/>
  <c r="P140" i="1" s="1"/>
  <c r="P141" i="1" s="1"/>
  <c r="Q102" i="1"/>
  <c r="Q143" i="1" s="1"/>
  <c r="E86" i="1"/>
  <c r="E140" i="1" s="1"/>
  <c r="E141" i="1" s="1"/>
  <c r="H86" i="1"/>
  <c r="H140" i="1" s="1"/>
  <c r="E54" i="1"/>
  <c r="E127" i="1" s="1"/>
  <c r="E128" i="1" s="1"/>
  <c r="G87" i="1"/>
  <c r="Q10" i="1"/>
  <c r="Z10" i="1" s="1"/>
  <c r="Q48" i="1"/>
  <c r="Z48" i="1" s="1"/>
  <c r="N54" i="1"/>
  <c r="N136" i="1" s="1"/>
  <c r="N137" i="1" s="1"/>
  <c r="I54" i="1"/>
  <c r="I127" i="1" s="1"/>
  <c r="I128" i="1" s="1"/>
  <c r="O86" i="1"/>
  <c r="O140" i="1" s="1"/>
  <c r="O141" i="1" s="1"/>
  <c r="K86" i="1"/>
  <c r="K140" i="1" s="1"/>
  <c r="K141" i="1" s="1"/>
  <c r="G10" i="1"/>
  <c r="M54" i="1"/>
  <c r="M136" i="1" s="1"/>
  <c r="M137" i="1" s="1"/>
  <c r="H54" i="1"/>
  <c r="N86" i="1"/>
  <c r="N140" i="1" s="1"/>
  <c r="N141" i="1" s="1"/>
  <c r="I86" i="1"/>
  <c r="I140" i="1" s="1"/>
  <c r="I141" i="1" s="1"/>
  <c r="P54" i="1"/>
  <c r="L54" i="1"/>
  <c r="M86" i="1"/>
  <c r="M140" i="1" s="1"/>
  <c r="M141" i="1" s="1"/>
  <c r="O54" i="1"/>
  <c r="O127" i="1" s="1"/>
  <c r="O128" i="1" s="1"/>
  <c r="L86" i="1"/>
  <c r="L140" i="1" s="1"/>
  <c r="L141" i="1" s="1"/>
  <c r="Z84" i="1"/>
  <c r="G116" i="1"/>
  <c r="Q33" i="1"/>
  <c r="Z33" i="1" s="1"/>
  <c r="R54" i="1"/>
  <c r="Q87" i="1"/>
  <c r="Z87" i="1" s="1"/>
  <c r="U61" i="1"/>
  <c r="U127" i="1" s="1"/>
  <c r="U128" i="1" s="1"/>
  <c r="R86" i="1"/>
  <c r="R140" i="1" s="1"/>
  <c r="R141" i="1" s="1"/>
  <c r="K54" i="1"/>
  <c r="K136" i="1" s="1"/>
  <c r="K137" i="1" s="1"/>
  <c r="Q124" i="1"/>
  <c r="Z124" i="1" s="1"/>
  <c r="Q54" i="1"/>
  <c r="Q9" i="1"/>
  <c r="Q17" i="1"/>
  <c r="Z17" i="1" s="1"/>
  <c r="Z4" i="1" l="1"/>
  <c r="R127" i="1"/>
  <c r="R128" i="1" s="1"/>
  <c r="H141" i="1"/>
  <c r="N127" i="1"/>
  <c r="N128" i="1" s="1"/>
  <c r="K127" i="1"/>
  <c r="K128" i="1" s="1"/>
  <c r="Q129" i="1"/>
  <c r="H127" i="1"/>
  <c r="H128" i="1" s="1"/>
  <c r="P127" i="1"/>
  <c r="P128" i="1" s="1"/>
  <c r="I136" i="1"/>
  <c r="I137" i="1" s="1"/>
  <c r="M127" i="1"/>
  <c r="M128" i="1" s="1"/>
  <c r="Z107" i="1"/>
  <c r="Q127" i="1"/>
  <c r="Q128" i="1" s="1"/>
  <c r="Q86" i="1"/>
  <c r="Q116" i="1"/>
  <c r="Z116" i="1" s="1"/>
  <c r="Q140" i="1" l="1"/>
  <c r="Q141" i="1" s="1"/>
  <c r="T134" i="1" l="1"/>
  <c r="S134" i="1"/>
  <c r="R134" i="1"/>
  <c r="T133" i="1"/>
  <c r="S133" i="1"/>
  <c r="R133" i="1"/>
  <c r="T132" i="1"/>
  <c r="S132" i="1"/>
  <c r="R132" i="1"/>
  <c r="T131" i="1"/>
  <c r="S131" i="1"/>
  <c r="R131" i="1"/>
  <c r="F106" i="1"/>
  <c r="F105" i="1"/>
  <c r="F104" i="1"/>
  <c r="F103" i="1"/>
  <c r="F82" i="1"/>
  <c r="F81" i="1"/>
  <c r="V77" i="1"/>
  <c r="R77" i="1"/>
  <c r="P77" i="1"/>
  <c r="P62" i="1" s="1"/>
  <c r="P136" i="1" s="1"/>
  <c r="P137" i="1" s="1"/>
  <c r="O77" i="1"/>
  <c r="O62" i="1" s="1"/>
  <c r="O136" i="1" s="1"/>
  <c r="O137" i="1" s="1"/>
  <c r="H77" i="1"/>
  <c r="H62" i="1" s="1"/>
  <c r="H136" i="1" s="1"/>
  <c r="H137" i="1" s="1"/>
  <c r="F77" i="1"/>
  <c r="F62" i="1" s="1"/>
  <c r="E77" i="1"/>
  <c r="E62" i="1" s="1"/>
  <c r="E136" i="1" s="1"/>
  <c r="F60" i="1"/>
  <c r="F59" i="1"/>
  <c r="F16" i="1"/>
  <c r="E137" i="1" l="1"/>
  <c r="F129" i="1"/>
  <c r="Z129" i="1" s="1"/>
  <c r="G16" i="1"/>
  <c r="F9" i="1"/>
  <c r="Z16" i="1"/>
  <c r="R62" i="1"/>
  <c r="R136" i="1" s="1"/>
  <c r="R137" i="1" s="1"/>
  <c r="Q77" i="1"/>
  <c r="G103" i="1"/>
  <c r="F102" i="1"/>
  <c r="Z103" i="1"/>
  <c r="R135" i="1"/>
  <c r="G106" i="1"/>
  <c r="Z106" i="1"/>
  <c r="V62" i="1"/>
  <c r="G77" i="1"/>
  <c r="G104" i="1"/>
  <c r="Z104" i="1"/>
  <c r="S135" i="1"/>
  <c r="G82" i="1"/>
  <c r="F63" i="1"/>
  <c r="Z82" i="1"/>
  <c r="G59" i="1"/>
  <c r="F58" i="1"/>
  <c r="F139" i="1" s="1"/>
  <c r="Z139" i="1" s="1"/>
  <c r="Z59" i="1"/>
  <c r="G60" i="1"/>
  <c r="Z60" i="1"/>
  <c r="F80" i="1"/>
  <c r="G81" i="1"/>
  <c r="Z81" i="1"/>
  <c r="G105" i="1"/>
  <c r="Z105" i="1"/>
  <c r="T135" i="1"/>
  <c r="G62" i="1" l="1"/>
  <c r="V136" i="1"/>
  <c r="V137" i="1" s="1"/>
  <c r="G63" i="1"/>
  <c r="Z63" i="1"/>
  <c r="G102" i="1"/>
  <c r="F86" i="1"/>
  <c r="Z86" i="1" s="1"/>
  <c r="Z102" i="1"/>
  <c r="G80" i="1"/>
  <c r="G61" i="1" s="1"/>
  <c r="Z80" i="1"/>
  <c r="F61" i="1"/>
  <c r="Z61" i="1" s="1"/>
  <c r="G58" i="1"/>
  <c r="Z58" i="1"/>
  <c r="F54" i="1"/>
  <c r="Z54" i="1" s="1"/>
  <c r="F136" i="1"/>
  <c r="F127" i="1"/>
  <c r="Z9" i="1"/>
  <c r="F143" i="1"/>
  <c r="Z143" i="1" s="1"/>
  <c r="Z77" i="1"/>
  <c r="Q62" i="1"/>
  <c r="G9" i="1"/>
  <c r="G127" i="1" s="1"/>
  <c r="Z62" i="1" l="1"/>
  <c r="Q136" i="1"/>
  <c r="Q137" i="1" s="1"/>
  <c r="F128" i="1"/>
  <c r="Z128" i="1" s="1"/>
  <c r="Z127" i="1"/>
  <c r="G139" i="1"/>
  <c r="G54" i="1"/>
  <c r="G136" i="1" s="1"/>
  <c r="G137" i="1" s="1"/>
  <c r="G143" i="1"/>
  <c r="G86" i="1"/>
  <c r="G140" i="1" s="1"/>
  <c r="G141" i="1" s="1"/>
  <c r="F137" i="1"/>
  <c r="Z136" i="1"/>
  <c r="F140" i="1"/>
  <c r="G129" i="1"/>
  <c r="G128" i="1" s="1"/>
  <c r="F141" i="1" l="1"/>
  <c r="Z141" i="1" s="1"/>
  <c r="Z140" i="1"/>
  <c r="Z137" i="1"/>
</calcChain>
</file>

<file path=xl/sharedStrings.xml><?xml version="1.0" encoding="utf-8"?>
<sst xmlns="http://schemas.openxmlformats.org/spreadsheetml/2006/main" count="407" uniqueCount="170">
  <si>
    <t>Потребление</t>
  </si>
  <si>
    <t>КанскаяТЭЦ</t>
  </si>
  <si>
    <t>ОЭС Сибири</t>
  </si>
  <si>
    <t>Энергосистема</t>
  </si>
  <si>
    <t>ТЭЦ СХК</t>
  </si>
  <si>
    <t>Огран.</t>
  </si>
  <si>
    <t>Всего</t>
  </si>
  <si>
    <t>КР</t>
  </si>
  <si>
    <t>СР</t>
  </si>
  <si>
    <t>ТР</t>
  </si>
  <si>
    <t>Рек</t>
  </si>
  <si>
    <t>ВПр</t>
  </si>
  <si>
    <t>ТЭС всего</t>
  </si>
  <si>
    <t>ГЭС всего</t>
  </si>
  <si>
    <t>Электростанция</t>
  </si>
  <si>
    <t xml:space="preserve">Ремонты </t>
  </si>
  <si>
    <t>ТЭЦ Каскад-Энерго</t>
  </si>
  <si>
    <t>Сумма ГЭС</t>
  </si>
  <si>
    <t>ТЭЦ АГК</t>
  </si>
  <si>
    <t>ТЭЦ СЦКК</t>
  </si>
  <si>
    <t>ТЭЦ ППГХО</t>
  </si>
  <si>
    <t>ЗРР</t>
  </si>
  <si>
    <t>Суточное</t>
  </si>
  <si>
    <t>-</t>
  </si>
  <si>
    <t>Час собств. максимума</t>
  </si>
  <si>
    <t>Устан. мощн.</t>
  </si>
  <si>
    <t>Расп. мощн.</t>
  </si>
  <si>
    <t>Раб. мощн.</t>
  </si>
  <si>
    <t>Ген-ция</t>
  </si>
  <si>
    <r>
      <t>k</t>
    </r>
    <r>
      <rPr>
        <sz val="8"/>
        <rFont val="Arial Cyr"/>
        <charset val="204"/>
      </rPr>
      <t>заполн</t>
    </r>
  </si>
  <si>
    <r>
      <t>∆</t>
    </r>
    <r>
      <rPr>
        <sz val="8"/>
        <rFont val="Arial Cyr"/>
        <charset val="204"/>
      </rPr>
      <t xml:space="preserve"> не совмещенного максимума по ОЭС Сибири, МВт</t>
    </r>
  </si>
  <si>
    <t>Сумма ТЭС</t>
  </si>
  <si>
    <t>Енашиминская ГЭС</t>
  </si>
  <si>
    <t>Запад ОЭС</t>
  </si>
  <si>
    <t xml:space="preserve">в т.ч ТЭС </t>
  </si>
  <si>
    <t xml:space="preserve">в т.ч ГЭС </t>
  </si>
  <si>
    <t>Вращ. резерв ТЭС</t>
  </si>
  <si>
    <t>Хол. резерв ТЭС</t>
  </si>
  <si>
    <t>Резерв ГЭС</t>
  </si>
  <si>
    <t>Час собств. Максимума</t>
  </si>
  <si>
    <t>Час совм. максимума</t>
  </si>
  <si>
    <t/>
  </si>
  <si>
    <t>ТЭС пп.</t>
  </si>
  <si>
    <t>ТЭС пп., в т.ч.</t>
  </si>
  <si>
    <t>Богучанская ГЭС</t>
  </si>
  <si>
    <t>ТЭС вост (неблоч.)</t>
  </si>
  <si>
    <t>ТЭС пп</t>
  </si>
  <si>
    <t>ТЭЦ Тепло-Сбыт-сервис</t>
  </si>
  <si>
    <t>ДЭС Олимпиадинский ГОК</t>
  </si>
  <si>
    <t>Омская ТЭЦ-3</t>
  </si>
  <si>
    <t>Омская ТЭЦ-4</t>
  </si>
  <si>
    <t>Омская ТЭЦ-5</t>
  </si>
  <si>
    <t>Новосибирская ТЭЦ-2</t>
  </si>
  <si>
    <t>Новосибирская ТЭЦ-3</t>
  </si>
  <si>
    <t>Новосибирская ТЭЦ-4</t>
  </si>
  <si>
    <t>Новосибирская ТЭЦ-5</t>
  </si>
  <si>
    <t>Барабинская ТЭЦ</t>
  </si>
  <si>
    <t>Новосибирская ГЭС</t>
  </si>
  <si>
    <t>Барнаульская ТЭЦ-2</t>
  </si>
  <si>
    <t>Барнаульская  ТЭЦ-3</t>
  </si>
  <si>
    <t xml:space="preserve">Барнаульская ГТ ТЭЦ </t>
  </si>
  <si>
    <t>Белокурихинская ГП ТЭC</t>
  </si>
  <si>
    <t>ТЭЦ АКХЗ</t>
  </si>
  <si>
    <t>Томь-Усинская ГРЭС</t>
  </si>
  <si>
    <t>Беловская ГРЭС</t>
  </si>
  <si>
    <t>Южно-Кузбасская ГРЭС</t>
  </si>
  <si>
    <t>Кемеровская ГРЭС</t>
  </si>
  <si>
    <t>Западно-Сибирская ТЭЦ</t>
  </si>
  <si>
    <t>Кемеровская ТЭЦ</t>
  </si>
  <si>
    <t>Ново-Кемеровская ТЭЦ</t>
  </si>
  <si>
    <t>Кузнецкая ТЭЦ</t>
  </si>
  <si>
    <t>Центральная ТЭЦ</t>
  </si>
  <si>
    <t>ТЭЦ Юрмаш</t>
  </si>
  <si>
    <t>Томская ГРЭС-2</t>
  </si>
  <si>
    <t>Томская ТЭЦ-3</t>
  </si>
  <si>
    <t>Абаканская ТЭЦ</t>
  </si>
  <si>
    <t>Саяно-Шушенская ГЭС</t>
  </si>
  <si>
    <t>Майнская ГЭС</t>
  </si>
  <si>
    <t>Березовская ГРЭС</t>
  </si>
  <si>
    <t>Красноярская ГРЭС-2</t>
  </si>
  <si>
    <t>Назаровская ГРЭС</t>
  </si>
  <si>
    <t>Красноярская ТЭЦ-1</t>
  </si>
  <si>
    <t>Красноярская ТЭЦ-2</t>
  </si>
  <si>
    <t>Красноярская ТЭЦ-3</t>
  </si>
  <si>
    <t>Минусинская ТЭЦ</t>
  </si>
  <si>
    <t>ТЭЦ АНПЗ</t>
  </si>
  <si>
    <t>ТЭС Полюс</t>
  </si>
  <si>
    <t>Красноярская ГЭС</t>
  </si>
  <si>
    <t>Кызылская ТЭЦ</t>
  </si>
  <si>
    <t>Участок №1 Иркутской ТЭЦ-9</t>
  </si>
  <si>
    <t>Шелеховский участок Ново-Иркутской ТЭЦ</t>
  </si>
  <si>
    <t>Участок ТИ и ТС Иркутской ТЭЦ-6</t>
  </si>
  <si>
    <t>Иркутская ТЭЦ-6</t>
  </si>
  <si>
    <t>Иркутская ТЭЦ-9</t>
  </si>
  <si>
    <t>Иркутская ТЭЦ-10</t>
  </si>
  <si>
    <t>Иркутская ТЭЦ-11</t>
  </si>
  <si>
    <t>Иркутская ТЭЦ-12</t>
  </si>
  <si>
    <t>Иркутская ТЭЦ-16</t>
  </si>
  <si>
    <t>Ново-Зиминская ТЭЦ</t>
  </si>
  <si>
    <t>Ново-Иркутская ТЭЦ</t>
  </si>
  <si>
    <t>Усть-Илимская ТЭЦ</t>
  </si>
  <si>
    <t>Иркутская ГЭС</t>
  </si>
  <si>
    <t>Братская ГЭС</t>
  </si>
  <si>
    <t>Усть-Илимская ГЭС</t>
  </si>
  <si>
    <t>Мамаканская ГЭС</t>
  </si>
  <si>
    <t>Гусиноозерская ГРЭС</t>
  </si>
  <si>
    <t>Улан-Удэнская ТЭЦ-1</t>
  </si>
  <si>
    <t>Читинская ТЭЦ-1</t>
  </si>
  <si>
    <t>Приаргунская ТЭЦ</t>
  </si>
  <si>
    <t>Шерловогорская ТЭЦ</t>
  </si>
  <si>
    <t>Читинская ТЭЦ-2</t>
  </si>
  <si>
    <t>Харанорская ГРЭС</t>
  </si>
  <si>
    <t>Первомайская ТЭЦ</t>
  </si>
  <si>
    <t>ЭС пп., в т.ч.</t>
  </si>
  <si>
    <t>ГТЭС Новокузнецкая</t>
  </si>
  <si>
    <t>ГТЭС Ванкорского м.р.</t>
  </si>
  <si>
    <t>Запад</t>
  </si>
  <si>
    <t>Восток</t>
  </si>
  <si>
    <t>Перегруз</t>
  </si>
  <si>
    <t>ТЭС зап (неблоч.)</t>
  </si>
  <si>
    <t>небаланс</t>
  </si>
  <si>
    <t>Кош-Агачская СЭС</t>
  </si>
  <si>
    <t xml:space="preserve">                       3. В составе восточной части ОЭС Сибири  - Бурятская ЭС, Забайкальская ЭС, Иркутская ЭС, Красноярская ЭС (КрГРЭС-2,  Канская ТЭЦ, Тепло-Сбыт-сервис, Богучанская ГЭС)</t>
  </si>
  <si>
    <t>ТЭС зап блоч. *</t>
  </si>
  <si>
    <t>ТЭС вост блоч.**</t>
  </si>
  <si>
    <t>Восток ОЭС***</t>
  </si>
  <si>
    <t>CЭС всего</t>
  </si>
  <si>
    <t xml:space="preserve">в т.ч CЭС </t>
  </si>
  <si>
    <t>ООО ТЭЦ Теплоснабжение</t>
  </si>
  <si>
    <t>Абаканская СЭС</t>
  </si>
  <si>
    <t>Кош-Агачская СЭС-2</t>
  </si>
  <si>
    <t>Томская ТЭЦ-1</t>
  </si>
  <si>
    <t xml:space="preserve"> Сравнение температур, ОЭС Сибири (нарастающий итог)  'месяц', °C.</t>
  </si>
  <si>
    <t>Тфакт</t>
  </si>
  <si>
    <t>Тнорм</t>
  </si>
  <si>
    <t>ΔTнорм</t>
  </si>
  <si>
    <t>Тпред.год</t>
  </si>
  <si>
    <t>ΔТпред</t>
  </si>
  <si>
    <t>Усть-Канская СЭС</t>
  </si>
  <si>
    <t>КЭС Кокс</t>
  </si>
  <si>
    <t>Онгудайская СЭС</t>
  </si>
  <si>
    <t>Майминская СЭС</t>
  </si>
  <si>
    <t>Бичурская СЭС</t>
  </si>
  <si>
    <t>БийскаяТЭЦ-1</t>
  </si>
  <si>
    <t>Ининская СЭС</t>
  </si>
  <si>
    <t>АР</t>
  </si>
  <si>
    <t xml:space="preserve">                       2.  ТЭС вост. блоч. **)   сумма (ГОГРЭС;  ИрТЭЦ-10; ХарГРЭС)</t>
  </si>
  <si>
    <t>Примечания:  1.  ТЭС зап. блоч. *)   сумма (Барн ГТ ТЭЦ; Белокурих ТЭС;  НазГРЭС;  БГРЭС;  КрГРЭС-2 (кроме ТГ-9,10);  КрТЭЦ-3;  Бел.ГРЭС;  ТУГРЭС;  ГТЭС Новокузнецкая; НТЭЦ-5; ТомТЭЦ-3; ПГУ-1 ОмТЭЦ-3)</t>
  </si>
  <si>
    <t>Омской области</t>
  </si>
  <si>
    <t>Новосибирской области</t>
  </si>
  <si>
    <t>Республики Алтай и Алтайского края</t>
  </si>
  <si>
    <t>Кемеровской области</t>
  </si>
  <si>
    <t>Томской области</t>
  </si>
  <si>
    <t>Республики Хакасия</t>
  </si>
  <si>
    <t>Красноярского края и Республики Тыва (по территории Красноярского края)</t>
  </si>
  <si>
    <t>Красноярского края и Республики Тыва (по территории Республики Тыва)</t>
  </si>
  <si>
    <t>Иркутской области</t>
  </si>
  <si>
    <t>Республики Бурятии</t>
  </si>
  <si>
    <t>Забайкальского края</t>
  </si>
  <si>
    <t>Усть-Коксинская СЭС</t>
  </si>
  <si>
    <t>Чемальская СЭС</t>
  </si>
  <si>
    <t>Кабанская СЭС</t>
  </si>
  <si>
    <t>Кяхтинская СЭС</t>
  </si>
  <si>
    <t>Тарбагатайская СЭС</t>
  </si>
  <si>
    <t>Хоринская СЭС</t>
  </si>
  <si>
    <t>Кенонская СЭС</t>
  </si>
  <si>
    <t>Ингодинская СЭС</t>
  </si>
  <si>
    <t>Баланс мощности по территории на час совмещённого максимума ОЭС за дату: 18:00 29.01.2020 Сформировано: 12.02.2020 11:29</t>
  </si>
  <si>
    <t xml:space="preserve"> Среднесуточная температура ОЭС Сибири за дату 29.01.2020 , °C.</t>
  </si>
  <si>
    <t>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</si>
</sst>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\ hh:mm"/>
  </numFmts>
  <fonts count="12" x14ac:knownFonts="1">
    <font>
      <sz val="10"/>
      <name val="Arial Cyr"/>
      <charset val="204"/>
    </font>
    <font>
      <sz val="8"/>
      <name val="Arial Cyr"/>
      <charset val="204"/>
    </font>
    <font>
      <sz val="7"/>
      <name val="Arial Cyr"/>
      <charset val="204"/>
    </font>
    <font>
      <b/>
      <sz val="9"/>
      <name val="Arial Cyr"/>
      <charset val="204"/>
    </font>
    <font>
      <sz val="8"/>
      <name val="Verdana"/>
      <family val="2"/>
      <charset val="204"/>
    </font>
    <font>
      <sz val="8"/>
      <name val="Arial"/>
      <family val="2"/>
      <charset val="204"/>
    </font>
    <font>
      <sz val="9"/>
      <name val="Arial Cyr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b/>
      <sz val="9"/>
      <color theme="4" tint="-0.249977111117893"/>
      <name val="Arial"/>
      <family val="2"/>
      <charset val="204"/>
    </font>
    <font>
      <sz val="9"/>
      <color rgb="FF204D89"/>
      <name val="Arial"/>
      <family val="2"/>
      <charset val="204"/>
    </font>
    <font>
      <b/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DBFF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08">
    <xf numFmtId="0" fontId="0" fillId="0" borderId="0" xfId="0"/>
    <xf numFmtId="1" fontId="2" fillId="0" borderId="0" xfId="0" applyNumberFormat="1" applyFont="1"/>
    <xf numFmtId="1" fontId="2" fillId="0" borderId="0" xfId="0" applyNumberFormat="1" applyFont="1" applyAlignment="1"/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2" borderId="1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1" fontId="1" fillId="0" borderId="0" xfId="0" applyNumberFormat="1" applyFont="1"/>
    <xf numFmtId="1" fontId="5" fillId="0" borderId="6" xfId="0" applyNumberFormat="1" applyFont="1" applyBorder="1" applyAlignment="1">
      <alignment horizontal="left"/>
    </xf>
    <xf numFmtId="2" fontId="5" fillId="0" borderId="6" xfId="0" applyNumberFormat="1" applyFont="1" applyBorder="1" applyAlignment="1">
      <alignment horizontal="left"/>
    </xf>
    <xf numFmtId="1" fontId="3" fillId="2" borderId="7" xfId="0" applyNumberFormat="1" applyFont="1" applyFill="1" applyBorder="1" applyAlignment="1">
      <alignment horizontal="left"/>
    </xf>
    <xf numFmtId="1" fontId="3" fillId="2" borderId="8" xfId="0" applyNumberFormat="1" applyFont="1" applyFill="1" applyBorder="1" applyAlignment="1">
      <alignment horizontal="left"/>
    </xf>
    <xf numFmtId="1" fontId="3" fillId="2" borderId="9" xfId="0" applyNumberFormat="1" applyFont="1" applyFill="1" applyBorder="1" applyAlignment="1">
      <alignment horizontal="left"/>
    </xf>
    <xf numFmtId="1" fontId="6" fillId="2" borderId="10" xfId="0" applyNumberFormat="1" applyFont="1" applyFill="1" applyBorder="1" applyAlignment="1">
      <alignment horizontal="center"/>
    </xf>
    <xf numFmtId="1" fontId="6" fillId="2" borderId="11" xfId="0" applyNumberFormat="1" applyFont="1" applyFill="1" applyBorder="1" applyAlignment="1">
      <alignment horizontal="center"/>
    </xf>
    <xf numFmtId="1" fontId="6" fillId="2" borderId="12" xfId="0" applyNumberFormat="1" applyFont="1" applyFill="1" applyBorder="1" applyAlignment="1">
      <alignment horizontal="center"/>
    </xf>
    <xf numFmtId="1" fontId="6" fillId="2" borderId="13" xfId="0" applyNumberFormat="1" applyFont="1" applyFill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0" fontId="6" fillId="0" borderId="5" xfId="0" applyFont="1" applyBorder="1"/>
    <xf numFmtId="0" fontId="6" fillId="0" borderId="17" xfId="0" applyFont="1" applyBorder="1"/>
    <xf numFmtId="0" fontId="3" fillId="0" borderId="17" xfId="0" applyFont="1" applyBorder="1" applyAlignment="1">
      <alignment horizontal="center" vertical="center"/>
    </xf>
    <xf numFmtId="1" fontId="6" fillId="2" borderId="19" xfId="0" applyNumberFormat="1" applyFont="1" applyFill="1" applyBorder="1" applyAlignment="1">
      <alignment horizontal="center"/>
    </xf>
    <xf numFmtId="1" fontId="6" fillId="2" borderId="25" xfId="0" applyNumberFormat="1" applyFont="1" applyFill="1" applyBorder="1" applyAlignment="1">
      <alignment horizontal="center"/>
    </xf>
    <xf numFmtId="1" fontId="6" fillId="2" borderId="14" xfId="0" applyNumberFormat="1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/>
    </xf>
    <xf numFmtId="1" fontId="6" fillId="2" borderId="31" xfId="0" applyNumberFormat="1" applyFont="1" applyFill="1" applyBorder="1" applyAlignment="1">
      <alignment horizontal="center"/>
    </xf>
    <xf numFmtId="1" fontId="6" fillId="2" borderId="29" xfId="0" applyNumberFormat="1" applyFont="1" applyFill="1" applyBorder="1" applyAlignment="1">
      <alignment horizontal="center"/>
    </xf>
    <xf numFmtId="1" fontId="6" fillId="2" borderId="22" xfId="0" applyNumberFormat="1" applyFont="1" applyFill="1" applyBorder="1" applyAlignment="1">
      <alignment horizontal="center"/>
    </xf>
    <xf numFmtId="1" fontId="6" fillId="2" borderId="23" xfId="0" applyNumberFormat="1" applyFont="1" applyFill="1" applyBorder="1" applyAlignment="1">
      <alignment horizontal="center"/>
    </xf>
    <xf numFmtId="1" fontId="6" fillId="2" borderId="32" xfId="0" applyNumberFormat="1" applyFont="1" applyFill="1" applyBorder="1" applyAlignment="1">
      <alignment horizontal="center"/>
    </xf>
    <xf numFmtId="1" fontId="6" fillId="2" borderId="30" xfId="0" applyNumberFormat="1" applyFont="1" applyFill="1" applyBorder="1" applyAlignment="1">
      <alignment horizontal="center"/>
    </xf>
    <xf numFmtId="1" fontId="3" fillId="2" borderId="11" xfId="0" applyNumberFormat="1" applyFont="1" applyFill="1" applyBorder="1" applyAlignment="1">
      <alignment horizontal="left"/>
    </xf>
    <xf numFmtId="1" fontId="3" fillId="2" borderId="6" xfId="0" applyNumberFormat="1" applyFont="1" applyFill="1" applyBorder="1" applyAlignment="1">
      <alignment horizontal="left"/>
    </xf>
    <xf numFmtId="1" fontId="3" fillId="2" borderId="16" xfId="0" applyNumberFormat="1" applyFont="1" applyFill="1" applyBorder="1" applyAlignment="1">
      <alignment horizontal="left"/>
    </xf>
    <xf numFmtId="1" fontId="3" fillId="2" borderId="14" xfId="0" applyNumberFormat="1" applyFont="1" applyFill="1" applyBorder="1" applyAlignment="1">
      <alignment horizontal="left"/>
    </xf>
    <xf numFmtId="1" fontId="3" fillId="2" borderId="22" xfId="0" applyNumberFormat="1" applyFont="1" applyFill="1" applyBorder="1" applyAlignment="1">
      <alignment horizontal="left"/>
    </xf>
    <xf numFmtId="1" fontId="6" fillId="0" borderId="20" xfId="0" applyNumberFormat="1" applyFont="1" applyBorder="1" applyAlignment="1">
      <alignment horizontal="left"/>
    </xf>
    <xf numFmtId="1" fontId="6" fillId="0" borderId="6" xfId="0" applyNumberFormat="1" applyFont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1" fontId="6" fillId="0" borderId="22" xfId="0" applyNumberFormat="1" applyFont="1" applyFill="1" applyBorder="1" applyAlignment="1">
      <alignment horizontal="left"/>
    </xf>
    <xf numFmtId="1" fontId="6" fillId="0" borderId="18" xfId="0" applyNumberFormat="1" applyFont="1" applyFill="1" applyBorder="1" applyAlignment="1">
      <alignment horizontal="left"/>
    </xf>
    <xf numFmtId="1" fontId="6" fillId="0" borderId="16" xfId="0" applyNumberFormat="1" applyFont="1" applyBorder="1" applyAlignment="1">
      <alignment horizontal="left"/>
    </xf>
    <xf numFmtId="1" fontId="6" fillId="2" borderId="6" xfId="0" applyNumberFormat="1" applyFont="1" applyFill="1" applyBorder="1" applyAlignment="1"/>
    <xf numFmtId="1" fontId="6" fillId="2" borderId="22" xfId="0" applyNumberFormat="1" applyFont="1" applyFill="1" applyBorder="1" applyAlignment="1"/>
    <xf numFmtId="1" fontId="6" fillId="2" borderId="16" xfId="0" applyNumberFormat="1" applyFont="1" applyFill="1" applyBorder="1" applyAlignment="1"/>
    <xf numFmtId="0" fontId="6" fillId="0" borderId="35" xfId="0" applyFont="1" applyBorder="1" applyAlignment="1"/>
    <xf numFmtId="1" fontId="3" fillId="0" borderId="34" xfId="0" applyNumberFormat="1" applyFont="1" applyBorder="1" applyAlignment="1"/>
    <xf numFmtId="1" fontId="3" fillId="0" borderId="35" xfId="0" applyNumberFormat="1" applyFont="1" applyBorder="1" applyAlignment="1"/>
    <xf numFmtId="0" fontId="3" fillId="0" borderId="35" xfId="0" applyFont="1" applyBorder="1" applyAlignment="1"/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Border="1"/>
    <xf numFmtId="0" fontId="0" fillId="0" borderId="0" xfId="0" applyFont="1" applyFill="1"/>
    <xf numFmtId="0" fontId="0" fillId="0" borderId="5" xfId="0" quotePrefix="1" applyFont="1" applyBorder="1"/>
    <xf numFmtId="0" fontId="3" fillId="0" borderId="0" xfId="0" applyNumberFormat="1" applyFont="1" applyAlignment="1">
      <alignment horizontal="left"/>
    </xf>
    <xf numFmtId="0" fontId="0" fillId="0" borderId="0" xfId="0" quotePrefix="1" applyFont="1" applyBorder="1"/>
    <xf numFmtId="1" fontId="3" fillId="0" borderId="0" xfId="0" quotePrefix="1" applyNumberFormat="1" applyFont="1" applyBorder="1" applyAlignment="1">
      <alignment horizontal="center"/>
    </xf>
    <xf numFmtId="1" fontId="2" fillId="0" borderId="0" xfId="0" quotePrefix="1" applyNumberFormat="1" applyFont="1" applyBorder="1" applyAlignment="1"/>
    <xf numFmtId="1" fontId="2" fillId="0" borderId="0" xfId="0" quotePrefix="1" applyNumberFormat="1" applyFont="1" applyBorder="1"/>
    <xf numFmtId="1" fontId="2" fillId="0" borderId="0" xfId="0" quotePrefix="1" applyNumberFormat="1" applyFont="1" applyBorder="1" applyAlignment="1">
      <alignment horizontal="center"/>
    </xf>
    <xf numFmtId="1" fontId="6" fillId="2" borderId="11" xfId="0" applyNumberFormat="1" applyFont="1" applyFill="1" applyBorder="1" applyAlignment="1"/>
    <xf numFmtId="1" fontId="3" fillId="0" borderId="0" xfId="0" applyNumberFormat="1" applyFont="1" applyBorder="1" applyAlignment="1">
      <alignment horizontal="left"/>
    </xf>
    <xf numFmtId="1" fontId="3" fillId="2" borderId="41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44" xfId="0" applyNumberFormat="1" applyFont="1" applyBorder="1" applyAlignment="1">
      <alignment horizontal="center"/>
    </xf>
    <xf numFmtId="1" fontId="6" fillId="0" borderId="43" xfId="0" applyNumberFormat="1" applyFont="1" applyBorder="1" applyAlignment="1">
      <alignment horizontal="center"/>
    </xf>
    <xf numFmtId="0" fontId="6" fillId="0" borderId="5" xfId="0" applyFont="1" applyBorder="1"/>
    <xf numFmtId="1" fontId="3" fillId="2" borderId="34" xfId="0" applyNumberFormat="1" applyFon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 vertical="top" wrapText="1"/>
    </xf>
    <xf numFmtId="1" fontId="6" fillId="2" borderId="12" xfId="0" applyNumberFormat="1" applyFont="1" applyFill="1" applyBorder="1" applyAlignment="1">
      <alignment horizontal="left"/>
    </xf>
    <xf numFmtId="1" fontId="6" fillId="0" borderId="20" xfId="0" applyNumberFormat="1" applyFont="1" applyBorder="1" applyAlignment="1">
      <alignment horizontal="left"/>
    </xf>
    <xf numFmtId="1" fontId="6" fillId="0" borderId="20" xfId="0" applyNumberFormat="1" applyFont="1" applyFill="1" applyBorder="1" applyAlignment="1">
      <alignment horizontal="left"/>
    </xf>
    <xf numFmtId="1" fontId="6" fillId="0" borderId="22" xfId="0" applyNumberFormat="1" applyFont="1" applyFill="1" applyBorder="1" applyAlignment="1">
      <alignment horizontal="left"/>
    </xf>
    <xf numFmtId="1" fontId="6" fillId="0" borderId="18" xfId="0" applyNumberFormat="1" applyFont="1" applyFill="1" applyBorder="1" applyAlignment="1">
      <alignment horizontal="left"/>
    </xf>
    <xf numFmtId="1" fontId="3" fillId="2" borderId="38" xfId="0" applyNumberFormat="1" applyFont="1" applyFill="1" applyBorder="1" applyAlignment="1">
      <alignment horizontal="center"/>
    </xf>
    <xf numFmtId="165" fontId="3" fillId="2" borderId="34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Border="1"/>
    <xf numFmtId="0" fontId="0" fillId="0" borderId="0" xfId="0" quotePrefix="1" applyFont="1" applyBorder="1"/>
    <xf numFmtId="1" fontId="6" fillId="2" borderId="6" xfId="1" applyNumberFormat="1" applyFont="1" applyFill="1" applyBorder="1" applyAlignment="1">
      <alignment horizontal="left"/>
    </xf>
    <xf numFmtId="0" fontId="3" fillId="0" borderId="17" xfId="0" applyFont="1" applyBorder="1" applyAlignment="1">
      <alignment horizontal="center" vertical="center" wrapText="1"/>
    </xf>
    <xf numFmtId="1" fontId="6" fillId="0" borderId="22" xfId="0" applyNumberFormat="1" applyFont="1" applyBorder="1" applyAlignment="1">
      <alignment horizontal="left"/>
    </xf>
    <xf numFmtId="1" fontId="6" fillId="2" borderId="20" xfId="1" applyNumberFormat="1" applyFont="1" applyFill="1" applyBorder="1" applyAlignment="1">
      <alignment horizontal="left"/>
    </xf>
    <xf numFmtId="1" fontId="6" fillId="0" borderId="47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1" fontId="6" fillId="2" borderId="48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49" xfId="0" applyNumberFormat="1" applyFont="1" applyFill="1" applyBorder="1" applyAlignment="1">
      <alignment horizontal="center"/>
    </xf>
    <xf numFmtId="2" fontId="0" fillId="0" borderId="0" xfId="0" applyNumberFormat="1" applyFont="1"/>
    <xf numFmtId="1" fontId="6" fillId="2" borderId="50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right"/>
    </xf>
    <xf numFmtId="0" fontId="10" fillId="3" borderId="6" xfId="0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vertical="top"/>
    </xf>
    <xf numFmtId="164" fontId="8" fillId="0" borderId="6" xfId="0" applyNumberFormat="1" applyFont="1" applyBorder="1" applyAlignment="1">
      <alignment vertical="top"/>
    </xf>
    <xf numFmtId="2" fontId="0" fillId="0" borderId="0" xfId="0" applyNumberFormat="1" applyFont="1" applyFill="1"/>
    <xf numFmtId="0" fontId="6" fillId="0" borderId="18" xfId="0" applyFont="1" applyBorder="1" applyAlignment="1"/>
    <xf numFmtId="0" fontId="6" fillId="0" borderId="42" xfId="0" applyFont="1" applyBorder="1" applyAlignment="1"/>
    <xf numFmtId="0" fontId="6" fillId="0" borderId="42" xfId="0" applyFont="1" applyBorder="1" applyAlignment="1"/>
    <xf numFmtId="0" fontId="6" fillId="0" borderId="18" xfId="0" applyFont="1" applyBorder="1" applyAlignment="1"/>
    <xf numFmtId="1" fontId="6" fillId="0" borderId="0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2" fontId="6" fillId="2" borderId="35" xfId="0" applyNumberFormat="1" applyFont="1" applyFill="1" applyBorder="1" applyAlignment="1">
      <alignment horizontal="center"/>
    </xf>
    <xf numFmtId="2" fontId="6" fillId="2" borderId="24" xfId="0" applyNumberFormat="1" applyFont="1" applyFill="1" applyBorder="1" applyAlignment="1">
      <alignment horizontal="center"/>
    </xf>
    <xf numFmtId="2" fontId="6" fillId="2" borderId="12" xfId="0" applyNumberFormat="1" applyFont="1" applyFill="1" applyBorder="1" applyAlignment="1">
      <alignment horizontal="center"/>
    </xf>
    <xf numFmtId="2" fontId="6" fillId="0" borderId="27" xfId="0" applyNumberFormat="1" applyFont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2" fontId="6" fillId="0" borderId="18" xfId="0" applyNumberFormat="1" applyFont="1" applyBorder="1" applyAlignment="1">
      <alignment horizontal="center"/>
    </xf>
    <xf numFmtId="2" fontId="6" fillId="0" borderId="45" xfId="0" applyNumberFormat="1" applyFont="1" applyBorder="1" applyAlignment="1">
      <alignment horizontal="center"/>
    </xf>
    <xf numFmtId="2" fontId="6" fillId="0" borderId="28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22" xfId="0" applyNumberFormat="1" applyFont="1" applyBorder="1" applyAlignment="1">
      <alignment horizontal="center"/>
    </xf>
    <xf numFmtId="2" fontId="6" fillId="0" borderId="22" xfId="0" quotePrefix="1" applyNumberFormat="1" applyFont="1" applyBorder="1" applyAlignment="1">
      <alignment horizontal="center"/>
    </xf>
    <xf numFmtId="2" fontId="6" fillId="0" borderId="23" xfId="0" applyNumberFormat="1" applyFont="1" applyBorder="1" applyAlignment="1">
      <alignment horizontal="center"/>
    </xf>
    <xf numFmtId="2" fontId="6" fillId="0" borderId="37" xfId="0" applyNumberFormat="1" applyFont="1" applyFill="1" applyBorder="1" applyAlignment="1">
      <alignment horizontal="center"/>
    </xf>
    <xf numFmtId="2" fontId="6" fillId="0" borderId="18" xfId="0" applyNumberFormat="1" applyFont="1" applyFill="1" applyBorder="1" applyAlignment="1">
      <alignment horizontal="center"/>
    </xf>
    <xf numFmtId="2" fontId="6" fillId="0" borderId="46" xfId="0" applyNumberFormat="1" applyFont="1" applyFill="1" applyBorder="1" applyAlignment="1">
      <alignment horizontal="center"/>
    </xf>
    <xf numFmtId="2" fontId="6" fillId="0" borderId="20" xfId="0" applyNumberFormat="1" applyFont="1" applyFill="1" applyBorder="1" applyAlignment="1">
      <alignment horizontal="center"/>
    </xf>
    <xf numFmtId="2" fontId="6" fillId="0" borderId="21" xfId="0" applyNumberFormat="1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2" fontId="6" fillId="0" borderId="45" xfId="0" applyNumberFormat="1" applyFont="1" applyFill="1" applyBorder="1" applyAlignment="1">
      <alignment horizontal="center"/>
    </xf>
    <xf numFmtId="2" fontId="6" fillId="0" borderId="23" xfId="0" applyNumberFormat="1" applyFont="1" applyFill="1" applyBorder="1" applyAlignment="1">
      <alignment horizontal="center"/>
    </xf>
    <xf numFmtId="2" fontId="6" fillId="0" borderId="6" xfId="0" applyNumberFormat="1" applyFont="1" applyFill="1" applyBorder="1" applyAlignment="1">
      <alignment horizontal="center"/>
    </xf>
    <xf numFmtId="2" fontId="6" fillId="0" borderId="37" xfId="0" applyNumberFormat="1" applyFont="1" applyBorder="1" applyAlignment="1">
      <alignment horizontal="center"/>
    </xf>
    <xf numFmtId="2" fontId="6" fillId="0" borderId="46" xfId="0" applyNumberFormat="1" applyFont="1" applyBorder="1" applyAlignment="1">
      <alignment horizontal="center"/>
    </xf>
    <xf numFmtId="2" fontId="6" fillId="0" borderId="29" xfId="0" applyNumberFormat="1" applyFont="1" applyFill="1" applyBorder="1" applyAlignment="1">
      <alignment horizontal="center"/>
    </xf>
    <xf numFmtId="2" fontId="6" fillId="0" borderId="22" xfId="0" applyNumberFormat="1" applyFont="1" applyFill="1" applyBorder="1" applyAlignment="1">
      <alignment horizontal="center"/>
    </xf>
    <xf numFmtId="2" fontId="6" fillId="0" borderId="28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6" fillId="0" borderId="11" xfId="0" applyNumberFormat="1" applyFont="1" applyFill="1" applyBorder="1" applyAlignment="1">
      <alignment horizontal="center"/>
    </xf>
    <xf numFmtId="2" fontId="6" fillId="0" borderId="33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2" fontId="0" fillId="0" borderId="6" xfId="0" applyNumberFormat="1" applyFont="1" applyBorder="1"/>
    <xf numFmtId="2" fontId="6" fillId="0" borderId="30" xfId="0" applyNumberFormat="1" applyFont="1" applyBorder="1" applyAlignment="1">
      <alignment horizontal="center"/>
    </xf>
    <xf numFmtId="2" fontId="6" fillId="0" borderId="31" xfId="0" applyNumberFormat="1" applyFont="1" applyBorder="1" applyAlignment="1">
      <alignment horizontal="center"/>
    </xf>
    <xf numFmtId="2" fontId="6" fillId="2" borderId="5" xfId="0" applyNumberFormat="1" applyFont="1" applyFill="1" applyBorder="1" applyAlignment="1">
      <alignment horizontal="center"/>
    </xf>
    <xf numFmtId="2" fontId="6" fillId="2" borderId="10" xfId="0" applyNumberFormat="1" applyFont="1" applyFill="1" applyBorder="1" applyAlignment="1">
      <alignment horizontal="center"/>
    </xf>
    <xf numFmtId="2" fontId="6" fillId="2" borderId="14" xfId="0" applyNumberFormat="1" applyFont="1" applyFill="1" applyBorder="1" applyAlignment="1">
      <alignment horizontal="center"/>
    </xf>
    <xf numFmtId="2" fontId="6" fillId="2" borderId="11" xfId="0" applyNumberFormat="1" applyFont="1" applyFill="1" applyBorder="1" applyAlignment="1">
      <alignment horizontal="center"/>
    </xf>
    <xf numFmtId="2" fontId="6" fillId="2" borderId="32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2" fontId="6" fillId="2" borderId="33" xfId="0" applyNumberFormat="1" applyFont="1" applyFill="1" applyBorder="1" applyAlignment="1">
      <alignment horizontal="center"/>
    </xf>
    <xf numFmtId="2" fontId="6" fillId="2" borderId="21" xfId="0" applyNumberFormat="1" applyFont="1" applyFill="1" applyBorder="1" applyAlignment="1">
      <alignment horizontal="center"/>
    </xf>
    <xf numFmtId="2" fontId="6" fillId="2" borderId="29" xfId="0" applyNumberFormat="1" applyFont="1" applyFill="1" applyBorder="1" applyAlignment="1">
      <alignment horizontal="center"/>
    </xf>
    <xf numFmtId="2" fontId="6" fillId="2" borderId="22" xfId="0" applyNumberFormat="1" applyFont="1" applyFill="1" applyBorder="1" applyAlignment="1">
      <alignment horizontal="center"/>
    </xf>
    <xf numFmtId="2" fontId="6" fillId="2" borderId="23" xfId="0" applyNumberFormat="1" applyFont="1" applyFill="1" applyBorder="1" applyAlignment="1">
      <alignment horizontal="center"/>
    </xf>
    <xf numFmtId="2" fontId="6" fillId="2" borderId="28" xfId="0" applyNumberFormat="1" applyFont="1" applyFill="1" applyBorder="1" applyAlignment="1">
      <alignment horizontal="center"/>
    </xf>
    <xf numFmtId="2" fontId="6" fillId="2" borderId="30" xfId="0" applyNumberFormat="1" applyFont="1" applyFill="1" applyBorder="1" applyAlignment="1">
      <alignment horizontal="center"/>
    </xf>
    <xf numFmtId="1" fontId="4" fillId="0" borderId="6" xfId="0" applyNumberFormat="1" applyFont="1" applyBorder="1" applyAlignment="1"/>
    <xf numFmtId="0" fontId="1" fillId="0" borderId="6" xfId="0" applyFont="1" applyBorder="1" applyAlignment="1"/>
    <xf numFmtId="1" fontId="6" fillId="0" borderId="7" xfId="0" applyNumberFormat="1" applyFont="1" applyBorder="1" applyAlignment="1"/>
    <xf numFmtId="1" fontId="6" fillId="0" borderId="42" xfId="0" applyNumberFormat="1" applyFont="1" applyBorder="1" applyAlignment="1"/>
    <xf numFmtId="1" fontId="6" fillId="0" borderId="9" xfId="0" applyNumberFormat="1" applyFont="1" applyBorder="1" applyAlignment="1"/>
    <xf numFmtId="1" fontId="4" fillId="0" borderId="21" xfId="0" applyNumberFormat="1" applyFont="1" applyBorder="1" applyAlignment="1"/>
    <xf numFmtId="1" fontId="4" fillId="0" borderId="28" xfId="0" applyNumberFormat="1" applyFont="1" applyBorder="1" applyAlignment="1"/>
    <xf numFmtId="1" fontId="6" fillId="0" borderId="2" xfId="0" applyNumberFormat="1" applyFont="1" applyBorder="1" applyAlignment="1"/>
    <xf numFmtId="1" fontId="6" fillId="0" borderId="3" xfId="0" applyNumberFormat="1" applyFont="1" applyBorder="1" applyAlignment="1"/>
    <xf numFmtId="1" fontId="3" fillId="0" borderId="42" xfId="0" applyNumberFormat="1" applyFont="1" applyFill="1" applyBorder="1" applyAlignment="1">
      <alignment horizontal="center"/>
    </xf>
    <xf numFmtId="0" fontId="6" fillId="0" borderId="42" xfId="0" applyFont="1" applyBorder="1" applyAlignment="1"/>
    <xf numFmtId="1" fontId="6" fillId="0" borderId="18" xfId="0" applyNumberFormat="1" applyFont="1" applyBorder="1" applyAlignment="1"/>
    <xf numFmtId="0" fontId="6" fillId="0" borderId="18" xfId="0" applyFont="1" applyBorder="1" applyAlignment="1"/>
    <xf numFmtId="0" fontId="6" fillId="0" borderId="36" xfId="0" applyFont="1" applyBorder="1" applyAlignment="1"/>
    <xf numFmtId="1" fontId="9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left"/>
    </xf>
    <xf numFmtId="1" fontId="3" fillId="2" borderId="4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wrapText="1"/>
    </xf>
    <xf numFmtId="1" fontId="3" fillId="0" borderId="18" xfId="0" applyNumberFormat="1" applyFont="1" applyFill="1" applyBorder="1" applyAlignment="1">
      <alignment horizontal="center"/>
    </xf>
    <xf numFmtId="0" fontId="6" fillId="0" borderId="18" xfId="0" applyFont="1" applyFill="1" applyBorder="1" applyAlignment="1"/>
    <xf numFmtId="1" fontId="3" fillId="0" borderId="44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 wrapText="1"/>
    </xf>
    <xf numFmtId="1" fontId="6" fillId="0" borderId="0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1" fontId="3" fillId="0" borderId="18" xfId="0" applyNumberFormat="1" applyFont="1" applyFill="1" applyBorder="1" applyAlignment="1">
      <alignment horizontal="center" vertical="top" wrapText="1"/>
    </xf>
    <xf numFmtId="1" fontId="3" fillId="0" borderId="34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2" xfId="0" applyFont="1" applyFill="1" applyBorder="1" applyAlignment="1"/>
    <xf numFmtId="1" fontId="6" fillId="0" borderId="39" xfId="0" applyNumberFormat="1" applyFont="1" applyFill="1" applyBorder="1" applyAlignment="1">
      <alignment horizontal="center"/>
    </xf>
    <xf numFmtId="1" fontId="6" fillId="0" borderId="26" xfId="0" applyNumberFormat="1" applyFont="1" applyBorder="1" applyAlignment="1">
      <alignment horizontal="center"/>
    </xf>
    <xf numFmtId="1" fontId="6" fillId="0" borderId="40" xfId="0" applyNumberFormat="1" applyFont="1" applyBorder="1" applyAlignment="1">
      <alignment horizontal="center"/>
    </xf>
    <xf numFmtId="0" fontId="0" fillId="0" borderId="43" xfId="0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3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Z174"/>
  <sheetViews>
    <sheetView tabSelected="1" zoomScaleNormal="100" workbookViewId="0">
      <pane ySplit="3" topLeftCell="A4" activePane="bottomLeft" state="frozen"/>
      <selection pane="bottomLeft" activeCell="O2" sqref="O2:O3"/>
    </sheetView>
  </sheetViews>
  <sheetFormatPr defaultRowHeight="12.75" x14ac:dyDescent="0.2"/>
  <cols>
    <col min="1" max="1" width="2" style="51" customWidth="1" collapsed="1"/>
    <col min="2" max="2" width="39.42578125" style="4" customWidth="1" collapsed="1"/>
    <col min="3" max="3" width="16" style="4" customWidth="1" collapsed="1"/>
    <col min="4" max="4" width="36" style="2" customWidth="1" collapsed="1"/>
    <col min="5" max="7" width="9.28515625" style="1" customWidth="1" collapsed="1"/>
    <col min="8" max="8" width="9.28515625" style="2" customWidth="1" collapsed="1"/>
    <col min="9" max="11" width="9.28515625" style="3" customWidth="1" collapsed="1"/>
    <col min="12" max="12" width="9.28515625" style="2" customWidth="1" collapsed="1"/>
    <col min="13" max="21" width="9.28515625" style="52" customWidth="1" collapsed="1"/>
    <col min="22" max="22" width="9.28515625" style="84" customWidth="1" collapsed="1"/>
    <col min="23" max="23" width="10" style="52" customWidth="1" collapsed="1"/>
    <col min="24" max="24" width="11.7109375" style="52" customWidth="1" collapsed="1"/>
    <col min="25" max="25" width="9.7109375" style="52" customWidth="1" collapsed="1"/>
    <col min="26" max="26" width="9.140625" style="84" customWidth="1" collapsed="1"/>
    <col min="27" max="16384" width="9.140625" style="52" collapsed="1"/>
  </cols>
  <sheetData>
    <row r="1" spans="1:26" ht="13.5" thickBot="1" x14ac:dyDescent="0.25">
      <c r="B1" s="48" t="s">
        <v>167</v>
      </c>
      <c r="C1" s="49"/>
      <c r="D1" s="49"/>
      <c r="E1" s="49"/>
      <c r="F1" s="49"/>
      <c r="G1" s="49"/>
      <c r="H1" s="49"/>
      <c r="I1" s="49"/>
      <c r="J1" s="47"/>
      <c r="K1" s="49"/>
      <c r="L1" s="50"/>
      <c r="M1" s="50"/>
      <c r="N1" s="19"/>
      <c r="O1" s="19"/>
      <c r="P1" s="19"/>
      <c r="Q1" s="19"/>
      <c r="R1" s="19"/>
      <c r="S1" s="19"/>
      <c r="T1" s="19"/>
      <c r="U1" s="19"/>
      <c r="V1" s="73"/>
      <c r="W1" s="19"/>
      <c r="X1" s="19"/>
      <c r="Y1" s="20"/>
    </row>
    <row r="2" spans="1:26" s="53" customFormat="1" ht="13.5" customHeight="1" thickBot="1" x14ac:dyDescent="0.25">
      <c r="A2" s="51"/>
      <c r="B2" s="178" t="s">
        <v>3</v>
      </c>
      <c r="C2" s="182" t="s">
        <v>39</v>
      </c>
      <c r="D2" s="178" t="s">
        <v>14</v>
      </c>
      <c r="E2" s="186" t="s">
        <v>25</v>
      </c>
      <c r="F2" s="206" t="s">
        <v>5</v>
      </c>
      <c r="G2" s="186" t="s">
        <v>26</v>
      </c>
      <c r="H2" s="196" t="s">
        <v>15</v>
      </c>
      <c r="I2" s="197"/>
      <c r="J2" s="198"/>
      <c r="K2" s="198"/>
      <c r="L2" s="198"/>
      <c r="M2" s="178" t="s">
        <v>11</v>
      </c>
      <c r="N2" s="178" t="s">
        <v>10</v>
      </c>
      <c r="O2" s="178" t="s">
        <v>169</v>
      </c>
      <c r="P2" s="178" t="s">
        <v>21</v>
      </c>
      <c r="Q2" s="186" t="s">
        <v>27</v>
      </c>
      <c r="R2" s="184" t="s">
        <v>28</v>
      </c>
      <c r="S2" s="182" t="s">
        <v>36</v>
      </c>
      <c r="T2" s="182" t="s">
        <v>37</v>
      </c>
      <c r="U2" s="180" t="s">
        <v>38</v>
      </c>
      <c r="V2" s="182" t="s">
        <v>118</v>
      </c>
      <c r="W2" s="175" t="s">
        <v>0</v>
      </c>
      <c r="X2" s="176"/>
      <c r="Y2" s="177"/>
    </row>
    <row r="3" spans="1:26" s="53" customFormat="1" ht="34.5" customHeight="1" thickBot="1" x14ac:dyDescent="0.25">
      <c r="A3" s="51"/>
      <c r="B3" s="190"/>
      <c r="C3" s="191"/>
      <c r="D3" s="204"/>
      <c r="E3" s="205"/>
      <c r="F3" s="207"/>
      <c r="G3" s="205"/>
      <c r="H3" s="67" t="s">
        <v>6</v>
      </c>
      <c r="I3" s="67" t="s">
        <v>7</v>
      </c>
      <c r="J3" s="67" t="s">
        <v>8</v>
      </c>
      <c r="K3" s="67" t="s">
        <v>9</v>
      </c>
      <c r="L3" s="68" t="s">
        <v>145</v>
      </c>
      <c r="M3" s="179"/>
      <c r="N3" s="179"/>
      <c r="O3" s="179"/>
      <c r="P3" s="179"/>
      <c r="Q3" s="187"/>
      <c r="R3" s="185"/>
      <c r="S3" s="183"/>
      <c r="T3" s="183"/>
      <c r="U3" s="181"/>
      <c r="V3" s="203"/>
      <c r="W3" s="88" t="s">
        <v>40</v>
      </c>
      <c r="X3" s="66" t="s">
        <v>24</v>
      </c>
      <c r="Y3" s="21" t="s">
        <v>22</v>
      </c>
      <c r="Z3" s="53" t="s">
        <v>120</v>
      </c>
    </row>
    <row r="4" spans="1:26" ht="13.5" thickBot="1" x14ac:dyDescent="0.25">
      <c r="B4" s="74" t="s">
        <v>148</v>
      </c>
      <c r="C4" s="75">
        <v>43859.291666666664</v>
      </c>
      <c r="D4" s="77"/>
      <c r="E4" s="109">
        <f>SUM(E5:E8)</f>
        <v>1601.2000122070313</v>
      </c>
      <c r="F4" s="110">
        <f>SUM(F5:F8)</f>
        <v>25.572064876556396</v>
      </c>
      <c r="G4" s="110">
        <f>SUM(G5:G8)</f>
        <v>1576.2256140550599</v>
      </c>
      <c r="H4" s="111">
        <f>SUM(H5:H7)</f>
        <v>0</v>
      </c>
      <c r="I4" s="111">
        <f t="shared" ref="I4:L4" si="0">SUM(I5:I7)</f>
        <v>0</v>
      </c>
      <c r="J4" s="111">
        <f t="shared" si="0"/>
        <v>0</v>
      </c>
      <c r="K4" s="111">
        <f t="shared" si="0"/>
        <v>0</v>
      </c>
      <c r="L4" s="109">
        <f t="shared" si="0"/>
        <v>0</v>
      </c>
      <c r="M4" s="111">
        <f>SUM(M5:M7)</f>
        <v>0</v>
      </c>
      <c r="N4" s="111">
        <f>SUM(N5:N7)</f>
        <v>0</v>
      </c>
      <c r="O4" s="111">
        <f>SUM(O5:O7)</f>
        <v>0</v>
      </c>
      <c r="P4" s="111">
        <f>SUM(P5:P7)</f>
        <v>0</v>
      </c>
      <c r="Q4" s="111">
        <f>SUM(Q5:Q8)</f>
        <v>1576.2255992889404</v>
      </c>
      <c r="R4" s="111">
        <f>SUM(R5:R8)</f>
        <v>1029.8160438537598</v>
      </c>
      <c r="S4" s="111">
        <f>SUM(S5:S7)</f>
        <v>134.61255073547363</v>
      </c>
      <c r="T4" s="110">
        <f>SUM(T5:T8)</f>
        <v>411.79700469970703</v>
      </c>
      <c r="U4" s="110" t="s">
        <v>23</v>
      </c>
      <c r="V4" s="111">
        <f>SUM(V5:V8)</f>
        <v>0.5976667245849967</v>
      </c>
      <c r="W4" s="23">
        <v>1500.355224609375</v>
      </c>
      <c r="X4" s="16">
        <v>1605.0994873046875</v>
      </c>
      <c r="Y4" s="17">
        <v>34813.256652832031</v>
      </c>
      <c r="Z4" s="96">
        <f>E4-F4-H4-M4-N4-O4-P4-Q4+V4</f>
        <v>1.4766119420528412E-5</v>
      </c>
    </row>
    <row r="5" spans="1:26" x14ac:dyDescent="0.2">
      <c r="B5" s="159"/>
      <c r="C5" s="168"/>
      <c r="D5" s="78" t="s">
        <v>49</v>
      </c>
      <c r="E5" s="112">
        <v>445.20001220703125</v>
      </c>
      <c r="F5" s="113">
        <v>0</v>
      </c>
      <c r="G5" s="114">
        <f>SUM(E5)-SUM(F5)+V5</f>
        <v>445.20698521938175</v>
      </c>
      <c r="H5" s="113">
        <v>0</v>
      </c>
      <c r="I5" s="113">
        <v>0</v>
      </c>
      <c r="J5" s="113">
        <v>0</v>
      </c>
      <c r="K5" s="113">
        <v>0</v>
      </c>
      <c r="L5" s="113">
        <v>0</v>
      </c>
      <c r="M5" s="113">
        <v>0</v>
      </c>
      <c r="N5" s="113">
        <v>0</v>
      </c>
      <c r="O5" s="113">
        <v>0</v>
      </c>
      <c r="P5" s="113">
        <v>0</v>
      </c>
      <c r="Q5" s="113">
        <f>SUM(R5:T5)</f>
        <v>445.20697784423828</v>
      </c>
      <c r="R5" s="113">
        <v>246.70396423339844</v>
      </c>
      <c r="S5" s="113">
        <v>35.653007507324219</v>
      </c>
      <c r="T5" s="113">
        <v>162.85000610351563</v>
      </c>
      <c r="U5" s="115" t="s">
        <v>23</v>
      </c>
      <c r="V5" s="113">
        <v>6.97301235049963E-3</v>
      </c>
      <c r="W5" s="192"/>
      <c r="X5" s="192"/>
      <c r="Y5" s="193"/>
      <c r="Z5" s="96">
        <f>E5-F5-H5-M5-N5-O5-P5-Q5+V5</f>
        <v>7.3751434683799744E-6</v>
      </c>
    </row>
    <row r="6" spans="1:26" x14ac:dyDescent="0.2">
      <c r="B6" s="164"/>
      <c r="C6" s="169"/>
      <c r="D6" s="39" t="s">
        <v>50</v>
      </c>
      <c r="E6" s="116">
        <v>385</v>
      </c>
      <c r="F6" s="117">
        <v>15</v>
      </c>
      <c r="G6" s="117">
        <f>SUM(E6)-SUM(F6)+V6</f>
        <v>370</v>
      </c>
      <c r="H6" s="117">
        <v>0</v>
      </c>
      <c r="I6" s="117">
        <v>0</v>
      </c>
      <c r="J6" s="117">
        <v>0</v>
      </c>
      <c r="K6" s="117">
        <v>0</v>
      </c>
      <c r="L6" s="117">
        <v>0</v>
      </c>
      <c r="M6" s="117">
        <v>0</v>
      </c>
      <c r="N6" s="117">
        <v>0</v>
      </c>
      <c r="O6" s="117">
        <v>0</v>
      </c>
      <c r="P6" s="117">
        <v>0</v>
      </c>
      <c r="Q6" s="117">
        <f>SUM(R6:T6)</f>
        <v>369.9999942779541</v>
      </c>
      <c r="R6" s="117">
        <v>194.53684997558594</v>
      </c>
      <c r="S6" s="117">
        <v>25.463144302368164</v>
      </c>
      <c r="T6" s="117">
        <v>150</v>
      </c>
      <c r="U6" s="118" t="s">
        <v>23</v>
      </c>
      <c r="V6" s="117">
        <v>0</v>
      </c>
      <c r="W6" s="192"/>
      <c r="X6" s="192"/>
      <c r="Y6" s="193"/>
      <c r="Z6" s="96">
        <f>E6-F6-H6-M6-N6-O6-P6-Q6+V6</f>
        <v>5.7220458984375E-6</v>
      </c>
    </row>
    <row r="7" spans="1:26" x14ac:dyDescent="0.2">
      <c r="B7" s="164"/>
      <c r="C7" s="169"/>
      <c r="D7" s="39" t="s">
        <v>51</v>
      </c>
      <c r="E7" s="116">
        <v>735</v>
      </c>
      <c r="F7" s="117">
        <v>1.0529999732971191</v>
      </c>
      <c r="G7" s="117">
        <f>SUM(E7)-SUM(F7)+V7</f>
        <v>733.94700002670288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  <c r="O7" s="117">
        <v>0</v>
      </c>
      <c r="P7" s="117">
        <v>0</v>
      </c>
      <c r="Q7" s="117">
        <f>SUM(R7:T7)</f>
        <v>733.94699859619141</v>
      </c>
      <c r="R7" s="117">
        <v>561.50360107421875</v>
      </c>
      <c r="S7" s="117">
        <v>73.49639892578125</v>
      </c>
      <c r="T7" s="117">
        <v>98.946998596191406</v>
      </c>
      <c r="U7" s="118" t="s">
        <v>23</v>
      </c>
      <c r="V7" s="117">
        <v>0</v>
      </c>
      <c r="W7" s="192"/>
      <c r="X7" s="192"/>
      <c r="Y7" s="193"/>
      <c r="Z7" s="96">
        <f>E7-F7-H7-M7-N7-O7-P7-Q7+V7</f>
        <v>1.430511474609375E-6</v>
      </c>
    </row>
    <row r="8" spans="1:26" ht="13.5" thickBot="1" x14ac:dyDescent="0.25">
      <c r="B8" s="161"/>
      <c r="C8" s="169"/>
      <c r="D8" s="89" t="s">
        <v>42</v>
      </c>
      <c r="E8" s="119">
        <v>36</v>
      </c>
      <c r="F8" s="120">
        <v>9.5190649032592773</v>
      </c>
      <c r="G8" s="114">
        <f>SUM(E8)-SUM(F8)+V8</f>
        <v>27.07162880897522</v>
      </c>
      <c r="H8" s="121" t="s">
        <v>23</v>
      </c>
      <c r="I8" s="121" t="s">
        <v>23</v>
      </c>
      <c r="J8" s="121" t="s">
        <v>23</v>
      </c>
      <c r="K8" s="121" t="s">
        <v>23</v>
      </c>
      <c r="L8" s="121" t="s">
        <v>23</v>
      </c>
      <c r="M8" s="121" t="s">
        <v>23</v>
      </c>
      <c r="N8" s="121" t="s">
        <v>23</v>
      </c>
      <c r="O8" s="121" t="s">
        <v>23</v>
      </c>
      <c r="P8" s="121" t="s">
        <v>23</v>
      </c>
      <c r="Q8" s="120">
        <f>SUM(R8,T8)</f>
        <v>27.071628570556641</v>
      </c>
      <c r="R8" s="120">
        <v>27.071628570556641</v>
      </c>
      <c r="S8" s="120" t="s">
        <v>23</v>
      </c>
      <c r="T8" s="120" t="s">
        <v>23</v>
      </c>
      <c r="U8" s="122" t="s">
        <v>23</v>
      </c>
      <c r="V8" s="120">
        <v>0.59069371223449707</v>
      </c>
      <c r="W8" s="192"/>
      <c r="X8" s="192"/>
      <c r="Y8" s="193"/>
      <c r="Z8" s="96" t="e">
        <f>E8-F8-H8-P8-Q8+V8</f>
        <v>#VALUE!</v>
      </c>
    </row>
    <row r="9" spans="1:26" ht="13.5" thickBot="1" x14ac:dyDescent="0.25">
      <c r="B9" s="74" t="s">
        <v>149</v>
      </c>
      <c r="C9" s="75">
        <v>43859.625</v>
      </c>
      <c r="D9" s="77"/>
      <c r="E9" s="111">
        <f t="shared" ref="E9:R9" si="1">SUM(E11:E16)</f>
        <v>3012.5</v>
      </c>
      <c r="F9" s="111">
        <f t="shared" si="1"/>
        <v>328.7</v>
      </c>
      <c r="G9" s="111">
        <f t="shared" si="1"/>
        <v>2690.7651119709017</v>
      </c>
      <c r="H9" s="111">
        <f t="shared" si="1"/>
        <v>0</v>
      </c>
      <c r="I9" s="111">
        <f t="shared" si="1"/>
        <v>0</v>
      </c>
      <c r="J9" s="111">
        <f t="shared" si="1"/>
        <v>0</v>
      </c>
      <c r="K9" s="111">
        <f t="shared" si="1"/>
        <v>0</v>
      </c>
      <c r="L9" s="111">
        <f t="shared" si="1"/>
        <v>0</v>
      </c>
      <c r="M9" s="111">
        <f t="shared" si="1"/>
        <v>0</v>
      </c>
      <c r="N9" s="111">
        <f t="shared" si="1"/>
        <v>0</v>
      </c>
      <c r="O9" s="111">
        <f t="shared" si="1"/>
        <v>0</v>
      </c>
      <c r="P9" s="111">
        <f t="shared" si="1"/>
        <v>225</v>
      </c>
      <c r="Q9" s="111">
        <f t="shared" si="1"/>
        <v>2465.7647840881345</v>
      </c>
      <c r="R9" s="111">
        <f t="shared" si="1"/>
        <v>1839.0309181213379</v>
      </c>
      <c r="S9" s="111">
        <f>SUM(S11:S15)</f>
        <v>171.99386596679688</v>
      </c>
      <c r="T9" s="111">
        <f>SUM(T11:T15)</f>
        <v>433.5</v>
      </c>
      <c r="U9" s="110">
        <f>SUM(U16)</f>
        <v>21.24</v>
      </c>
      <c r="V9" s="111">
        <f>SUM(V11:V16)</f>
        <v>6.9651119709014893</v>
      </c>
      <c r="W9" s="23">
        <v>2271.0654296875</v>
      </c>
      <c r="X9" s="16">
        <v>2469.1142578125</v>
      </c>
      <c r="Y9" s="17">
        <v>53792.217468261719</v>
      </c>
      <c r="Z9" s="96">
        <f t="shared" ref="Z9:Z32" si="2">E9-F9-H9-M9-N9-O9-P9-Q9+V9</f>
        <v>3.2788276712381048E-4</v>
      </c>
    </row>
    <row r="10" spans="1:26" s="54" customFormat="1" x14ac:dyDescent="0.2">
      <c r="A10" s="51"/>
      <c r="B10" s="166"/>
      <c r="C10" s="188"/>
      <c r="D10" s="81" t="s">
        <v>31</v>
      </c>
      <c r="E10" s="123">
        <f>SUM(E11:E15)</f>
        <v>2522.5</v>
      </c>
      <c r="F10" s="124">
        <f>SUM(F11:F15)</f>
        <v>0</v>
      </c>
      <c r="G10" s="124">
        <f t="shared" ref="G10:G16" si="3">SUM(E10)-SUM(F10)+V10</f>
        <v>2529.4651119709015</v>
      </c>
      <c r="H10" s="124">
        <f t="shared" ref="H10:T10" si="4">SUM(H11:H15)</f>
        <v>0</v>
      </c>
      <c r="I10" s="124">
        <f t="shared" si="4"/>
        <v>0</v>
      </c>
      <c r="J10" s="124">
        <f t="shared" si="4"/>
        <v>0</v>
      </c>
      <c r="K10" s="124">
        <f t="shared" si="4"/>
        <v>0</v>
      </c>
      <c r="L10" s="124">
        <f t="shared" si="4"/>
        <v>0</v>
      </c>
      <c r="M10" s="124">
        <f t="shared" si="4"/>
        <v>0</v>
      </c>
      <c r="N10" s="124">
        <f t="shared" si="4"/>
        <v>0</v>
      </c>
      <c r="O10" s="124">
        <f t="shared" si="4"/>
        <v>0</v>
      </c>
      <c r="P10" s="124">
        <f t="shared" si="4"/>
        <v>225</v>
      </c>
      <c r="Q10" s="124">
        <f t="shared" si="4"/>
        <v>2304.4651069641113</v>
      </c>
      <c r="R10" s="124">
        <f t="shared" si="4"/>
        <v>1698.9712409973145</v>
      </c>
      <c r="S10" s="124">
        <f t="shared" si="4"/>
        <v>171.99386596679688</v>
      </c>
      <c r="T10" s="124">
        <f t="shared" si="4"/>
        <v>433.5</v>
      </c>
      <c r="U10" s="125" t="s">
        <v>23</v>
      </c>
      <c r="V10" s="126">
        <f>SUM(V11:V15)</f>
        <v>6.9651119709014893</v>
      </c>
      <c r="W10" s="194"/>
      <c r="X10" s="194"/>
      <c r="Y10" s="200"/>
      <c r="Z10" s="96">
        <f t="shared" si="2"/>
        <v>5.0067901611328125E-6</v>
      </c>
    </row>
    <row r="11" spans="1:26" x14ac:dyDescent="0.2">
      <c r="B11" s="199"/>
      <c r="C11" s="189"/>
      <c r="D11" s="40" t="s">
        <v>52</v>
      </c>
      <c r="E11" s="116">
        <v>345</v>
      </c>
      <c r="F11" s="117">
        <v>0</v>
      </c>
      <c r="G11" s="117">
        <f t="shared" si="3"/>
        <v>345.39676463603973</v>
      </c>
      <c r="H11" s="117">
        <v>0</v>
      </c>
      <c r="I11" s="117">
        <v>0</v>
      </c>
      <c r="J11" s="117">
        <v>0</v>
      </c>
      <c r="K11" s="117">
        <v>0</v>
      </c>
      <c r="L11" s="127">
        <v>0</v>
      </c>
      <c r="M11" s="117">
        <v>0</v>
      </c>
      <c r="N11" s="117">
        <v>0</v>
      </c>
      <c r="O11" s="117">
        <v>0</v>
      </c>
      <c r="P11" s="117">
        <v>0</v>
      </c>
      <c r="Q11" s="117">
        <f>SUM(R11:T11)</f>
        <v>345.39675140380859</v>
      </c>
      <c r="R11" s="117">
        <v>281.93130493164063</v>
      </c>
      <c r="S11" s="117">
        <v>23.465446472167969</v>
      </c>
      <c r="T11" s="117">
        <v>40</v>
      </c>
      <c r="U11" s="118" t="s">
        <v>23</v>
      </c>
      <c r="V11" s="117">
        <v>0.39676463603973389</v>
      </c>
      <c r="W11" s="194"/>
      <c r="X11" s="194"/>
      <c r="Y11" s="200"/>
      <c r="Z11" s="96">
        <f t="shared" si="2"/>
        <v>1.3232231140136719E-5</v>
      </c>
    </row>
    <row r="12" spans="1:26" x14ac:dyDescent="0.2">
      <c r="B12" s="199"/>
      <c r="C12" s="189"/>
      <c r="D12" s="40" t="s">
        <v>53</v>
      </c>
      <c r="E12" s="116">
        <v>496.5</v>
      </c>
      <c r="F12" s="117">
        <v>0</v>
      </c>
      <c r="G12" s="117">
        <f t="shared" si="3"/>
        <v>501.89164066314697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  <c r="O12" s="117">
        <v>0</v>
      </c>
      <c r="P12" s="117">
        <v>55</v>
      </c>
      <c r="Q12" s="117">
        <f>SUM(R12:T12)</f>
        <v>446.89165019989014</v>
      </c>
      <c r="R12" s="117">
        <v>401.48370361328125</v>
      </c>
      <c r="S12" s="117">
        <v>13.907946586608887</v>
      </c>
      <c r="T12" s="117">
        <v>31.5</v>
      </c>
      <c r="U12" s="118" t="s">
        <v>23</v>
      </c>
      <c r="V12" s="117">
        <v>5.3916406631469727</v>
      </c>
      <c r="W12" s="194"/>
      <c r="X12" s="194"/>
      <c r="Y12" s="200"/>
      <c r="Z12" s="96">
        <f t="shared" si="2"/>
        <v>-9.5367431640625E-6</v>
      </c>
    </row>
    <row r="13" spans="1:26" x14ac:dyDescent="0.2">
      <c r="B13" s="199"/>
      <c r="C13" s="189"/>
      <c r="D13" s="40" t="s">
        <v>54</v>
      </c>
      <c r="E13" s="116">
        <v>384</v>
      </c>
      <c r="F13" s="117">
        <v>0</v>
      </c>
      <c r="G13" s="117">
        <f t="shared" si="3"/>
        <v>385.17670667171478</v>
      </c>
      <c r="H13" s="117">
        <v>0</v>
      </c>
      <c r="I13" s="117">
        <v>0</v>
      </c>
      <c r="J13" s="117">
        <v>0</v>
      </c>
      <c r="K13" s="117">
        <v>0</v>
      </c>
      <c r="L13" s="127">
        <v>0</v>
      </c>
      <c r="M13" s="117">
        <v>0</v>
      </c>
      <c r="N13" s="117">
        <v>0</v>
      </c>
      <c r="O13" s="117">
        <v>0</v>
      </c>
      <c r="P13" s="117">
        <v>0</v>
      </c>
      <c r="Q13" s="117">
        <f>SUM(R13:T13)</f>
        <v>385.17671203613281</v>
      </c>
      <c r="R13" s="117">
        <v>195.3251953125</v>
      </c>
      <c r="S13" s="117">
        <v>37.851516723632813</v>
      </c>
      <c r="T13" s="117">
        <v>152</v>
      </c>
      <c r="U13" s="118" t="s">
        <v>23</v>
      </c>
      <c r="V13" s="117">
        <v>1.1767066717147827</v>
      </c>
      <c r="W13" s="194"/>
      <c r="X13" s="194"/>
      <c r="Y13" s="200"/>
      <c r="Z13" s="96">
        <f t="shared" si="2"/>
        <v>-5.3644180297851563E-6</v>
      </c>
    </row>
    <row r="14" spans="1:26" x14ac:dyDescent="0.2">
      <c r="B14" s="199"/>
      <c r="C14" s="189"/>
      <c r="D14" s="40" t="s">
        <v>55</v>
      </c>
      <c r="E14" s="116">
        <v>1200</v>
      </c>
      <c r="F14" s="117">
        <v>0</v>
      </c>
      <c r="G14" s="117">
        <f t="shared" si="3"/>
        <v>1200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  <c r="O14" s="117">
        <v>0</v>
      </c>
      <c r="P14" s="117">
        <v>170</v>
      </c>
      <c r="Q14" s="117">
        <f>SUM(R14:T14)</f>
        <v>1029.9999923706055</v>
      </c>
      <c r="R14" s="117">
        <v>786.94635009765625</v>
      </c>
      <c r="S14" s="117">
        <v>83.053642272949219</v>
      </c>
      <c r="T14" s="117">
        <v>160</v>
      </c>
      <c r="U14" s="118" t="s">
        <v>23</v>
      </c>
      <c r="V14" s="117">
        <v>0</v>
      </c>
      <c r="W14" s="194"/>
      <c r="X14" s="194"/>
      <c r="Y14" s="200"/>
      <c r="Z14" s="96">
        <f t="shared" si="2"/>
        <v>7.62939453125E-6</v>
      </c>
    </row>
    <row r="15" spans="1:26" x14ac:dyDescent="0.2">
      <c r="B15" s="199"/>
      <c r="C15" s="189"/>
      <c r="D15" s="40" t="s">
        <v>56</v>
      </c>
      <c r="E15" s="116">
        <v>97</v>
      </c>
      <c r="F15" s="117">
        <v>0</v>
      </c>
      <c r="G15" s="117">
        <f t="shared" si="3"/>
        <v>97</v>
      </c>
      <c r="H15" s="117">
        <v>0</v>
      </c>
      <c r="I15" s="117">
        <v>0</v>
      </c>
      <c r="J15" s="117">
        <v>0</v>
      </c>
      <c r="K15" s="117">
        <v>0</v>
      </c>
      <c r="L15" s="127">
        <v>0</v>
      </c>
      <c r="M15" s="117">
        <v>0</v>
      </c>
      <c r="N15" s="117">
        <v>0</v>
      </c>
      <c r="O15" s="117">
        <v>0</v>
      </c>
      <c r="P15" s="117">
        <v>0</v>
      </c>
      <c r="Q15" s="117">
        <f>SUM(R15:T15)</f>
        <v>97.000000953674316</v>
      </c>
      <c r="R15" s="117">
        <v>33.284687042236328</v>
      </c>
      <c r="S15" s="117">
        <v>13.715313911437988</v>
      </c>
      <c r="T15" s="117">
        <v>50</v>
      </c>
      <c r="U15" s="118" t="s">
        <v>23</v>
      </c>
      <c r="V15" s="117">
        <v>0</v>
      </c>
      <c r="W15" s="194"/>
      <c r="X15" s="194"/>
      <c r="Y15" s="200"/>
      <c r="Z15" s="96">
        <f t="shared" si="2"/>
        <v>-9.5367431640625E-7</v>
      </c>
    </row>
    <row r="16" spans="1:26" ht="13.5" thickBot="1" x14ac:dyDescent="0.25">
      <c r="B16" s="199"/>
      <c r="C16" s="189"/>
      <c r="D16" s="81" t="s">
        <v>57</v>
      </c>
      <c r="E16" s="119">
        <v>490</v>
      </c>
      <c r="F16" s="119">
        <f>0+328.7</f>
        <v>328.7</v>
      </c>
      <c r="G16" s="120">
        <f t="shared" si="3"/>
        <v>161.30000000000001</v>
      </c>
      <c r="H16" s="120">
        <f>I16+K16+L16</f>
        <v>0</v>
      </c>
      <c r="I16" s="120">
        <v>0</v>
      </c>
      <c r="J16" s="120"/>
      <c r="K16" s="120">
        <v>0</v>
      </c>
      <c r="L16" s="120">
        <v>0</v>
      </c>
      <c r="M16" s="120">
        <v>0</v>
      </c>
      <c r="N16" s="120">
        <v>0</v>
      </c>
      <c r="O16" s="120">
        <v>0</v>
      </c>
      <c r="P16" s="120">
        <v>0</v>
      </c>
      <c r="Q16" s="120">
        <f>SUM(U16,R16)</f>
        <v>161.29967712402345</v>
      </c>
      <c r="R16" s="120">
        <v>140.05967712402344</v>
      </c>
      <c r="S16" s="128" t="s">
        <v>23</v>
      </c>
      <c r="T16" s="120" t="s">
        <v>23</v>
      </c>
      <c r="U16" s="122">
        <v>21.24</v>
      </c>
      <c r="V16" s="120">
        <v>0</v>
      </c>
      <c r="W16" s="194"/>
      <c r="X16" s="194"/>
      <c r="Y16" s="200"/>
      <c r="Z16" s="96">
        <f t="shared" si="2"/>
        <v>3.2287597656477374E-4</v>
      </c>
    </row>
    <row r="17" spans="1:26" ht="13.5" thickBot="1" x14ac:dyDescent="0.25">
      <c r="B17" s="74" t="s">
        <v>150</v>
      </c>
      <c r="C17" s="75">
        <v>43859.25</v>
      </c>
      <c r="D17" s="77"/>
      <c r="E17" s="111">
        <f t="shared" ref="E17:T17" si="5">SUM(E18:E31)</f>
        <v>1686.5090274810791</v>
      </c>
      <c r="F17" s="111">
        <f t="shared" si="5"/>
        <v>169.10900038480759</v>
      </c>
      <c r="G17" s="111">
        <f t="shared" si="5"/>
        <v>1517.4000270962715</v>
      </c>
      <c r="H17" s="111">
        <f t="shared" si="5"/>
        <v>129</v>
      </c>
      <c r="I17" s="111">
        <f t="shared" si="5"/>
        <v>60</v>
      </c>
      <c r="J17" s="111">
        <f t="shared" si="5"/>
        <v>0</v>
      </c>
      <c r="K17" s="111">
        <f t="shared" si="5"/>
        <v>9</v>
      </c>
      <c r="L17" s="111">
        <f t="shared" si="5"/>
        <v>60</v>
      </c>
      <c r="M17" s="111">
        <f t="shared" si="5"/>
        <v>0</v>
      </c>
      <c r="N17" s="111">
        <f t="shared" si="5"/>
        <v>0</v>
      </c>
      <c r="O17" s="111">
        <f t="shared" si="5"/>
        <v>0</v>
      </c>
      <c r="P17" s="111">
        <f t="shared" si="5"/>
        <v>16</v>
      </c>
      <c r="Q17" s="111">
        <f t="shared" si="5"/>
        <v>1372.3999781608582</v>
      </c>
      <c r="R17" s="111">
        <f t="shared" si="5"/>
        <v>891.37082672119141</v>
      </c>
      <c r="S17" s="111">
        <f t="shared" si="5"/>
        <v>85.129157543182373</v>
      </c>
      <c r="T17" s="111">
        <f t="shared" si="5"/>
        <v>395.89999389648438</v>
      </c>
      <c r="U17" s="110" t="s">
        <v>23</v>
      </c>
      <c r="V17" s="111">
        <f>SUM(V18:V31)</f>
        <v>0</v>
      </c>
      <c r="W17" s="23">
        <v>1413.9659423828125</v>
      </c>
      <c r="X17" s="16">
        <v>1564.7557373046875</v>
      </c>
      <c r="Y17" s="17">
        <v>32699.37451171875</v>
      </c>
      <c r="Z17" s="96">
        <f t="shared" si="2"/>
        <v>4.8935413360595703E-5</v>
      </c>
    </row>
    <row r="18" spans="1:26" x14ac:dyDescent="0.2">
      <c r="B18" s="159"/>
      <c r="C18" s="169"/>
      <c r="D18" s="79" t="s">
        <v>58</v>
      </c>
      <c r="E18" s="112">
        <v>300.50900268554688</v>
      </c>
      <c r="F18" s="113">
        <v>0.50900000333786011</v>
      </c>
      <c r="G18" s="113">
        <f t="shared" ref="G18:G28" si="6">SUM(E18)-SUM(F18)+V18</f>
        <v>300.00000268220901</v>
      </c>
      <c r="H18" s="113">
        <v>0</v>
      </c>
      <c r="I18" s="113">
        <v>0</v>
      </c>
      <c r="J18" s="113">
        <v>0</v>
      </c>
      <c r="K18" s="113">
        <v>0</v>
      </c>
      <c r="L18" s="129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f t="shared" ref="Q18:Q23" si="7">SUM(R18:T18)</f>
        <v>299.99999809265137</v>
      </c>
      <c r="R18" s="113">
        <v>206.62046813964844</v>
      </c>
      <c r="S18" s="113">
        <v>28.37952995300293</v>
      </c>
      <c r="T18" s="113">
        <v>65</v>
      </c>
      <c r="U18" s="115" t="s">
        <v>23</v>
      </c>
      <c r="V18" s="113">
        <v>0</v>
      </c>
      <c r="W18" s="192"/>
      <c r="X18" s="192"/>
      <c r="Y18" s="193"/>
      <c r="Z18" s="96">
        <f t="shared" si="2"/>
        <v>4.5895576477050781E-6</v>
      </c>
    </row>
    <row r="19" spans="1:26" x14ac:dyDescent="0.2">
      <c r="B19" s="164"/>
      <c r="C19" s="169"/>
      <c r="D19" s="40" t="s">
        <v>59</v>
      </c>
      <c r="E19" s="116">
        <v>445</v>
      </c>
      <c r="F19" s="117">
        <v>0</v>
      </c>
      <c r="G19" s="117">
        <f t="shared" si="6"/>
        <v>445</v>
      </c>
      <c r="H19" s="117">
        <v>0</v>
      </c>
      <c r="I19" s="117">
        <v>0</v>
      </c>
      <c r="J19" s="117">
        <v>0</v>
      </c>
      <c r="K19" s="117">
        <v>0</v>
      </c>
      <c r="L19" s="127">
        <v>0</v>
      </c>
      <c r="M19" s="117">
        <v>0</v>
      </c>
      <c r="N19" s="117">
        <v>0</v>
      </c>
      <c r="O19" s="117">
        <v>0</v>
      </c>
      <c r="P19" s="117">
        <v>0</v>
      </c>
      <c r="Q19" s="117">
        <f t="shared" si="7"/>
        <v>444.99998617172241</v>
      </c>
      <c r="R19" s="117">
        <v>354.853759765625</v>
      </c>
      <c r="S19" s="117">
        <v>1.1462264060974121</v>
      </c>
      <c r="T19" s="117">
        <v>89</v>
      </c>
      <c r="U19" s="118" t="s">
        <v>23</v>
      </c>
      <c r="V19" s="113">
        <v>0</v>
      </c>
      <c r="W19" s="192"/>
      <c r="X19" s="192"/>
      <c r="Y19" s="193"/>
      <c r="Z19" s="96">
        <f t="shared" si="2"/>
        <v>1.3828277587890625E-5</v>
      </c>
    </row>
    <row r="20" spans="1:26" x14ac:dyDescent="0.2">
      <c r="B20" s="164"/>
      <c r="C20" s="169"/>
      <c r="D20" s="40" t="s">
        <v>60</v>
      </c>
      <c r="E20" s="116">
        <v>36</v>
      </c>
      <c r="F20" s="117">
        <v>0</v>
      </c>
      <c r="G20" s="117">
        <f t="shared" si="6"/>
        <v>36</v>
      </c>
      <c r="H20" s="117">
        <v>9</v>
      </c>
      <c r="I20" s="117">
        <v>0</v>
      </c>
      <c r="J20" s="117">
        <v>0</v>
      </c>
      <c r="K20" s="117">
        <v>9</v>
      </c>
      <c r="L20" s="12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f t="shared" si="7"/>
        <v>27</v>
      </c>
      <c r="R20" s="117">
        <v>0</v>
      </c>
      <c r="S20" s="117">
        <v>0</v>
      </c>
      <c r="T20" s="117">
        <v>27</v>
      </c>
      <c r="U20" s="118" t="s">
        <v>23</v>
      </c>
      <c r="V20" s="113">
        <v>0</v>
      </c>
      <c r="W20" s="192"/>
      <c r="X20" s="192"/>
      <c r="Y20" s="193"/>
      <c r="Z20" s="96">
        <f t="shared" si="2"/>
        <v>0</v>
      </c>
    </row>
    <row r="21" spans="1:26" x14ac:dyDescent="0.2">
      <c r="B21" s="164"/>
      <c r="C21" s="169"/>
      <c r="D21" s="40" t="s">
        <v>143</v>
      </c>
      <c r="E21" s="116">
        <v>519.9000244140625</v>
      </c>
      <c r="F21" s="117">
        <v>0</v>
      </c>
      <c r="G21" s="117">
        <f t="shared" si="6"/>
        <v>519.9000244140625</v>
      </c>
      <c r="H21" s="117">
        <v>0</v>
      </c>
      <c r="I21" s="117">
        <v>0</v>
      </c>
      <c r="J21" s="117">
        <v>0</v>
      </c>
      <c r="K21" s="117">
        <v>0</v>
      </c>
      <c r="L21" s="127">
        <v>0</v>
      </c>
      <c r="M21" s="117">
        <v>0</v>
      </c>
      <c r="N21" s="117">
        <v>0</v>
      </c>
      <c r="O21" s="117">
        <v>0</v>
      </c>
      <c r="P21" s="117">
        <v>0</v>
      </c>
      <c r="Q21" s="117">
        <f t="shared" si="7"/>
        <v>519.89999771118164</v>
      </c>
      <c r="R21" s="117">
        <v>249.71206665039063</v>
      </c>
      <c r="S21" s="117">
        <v>55.287937164306641</v>
      </c>
      <c r="T21" s="117">
        <v>214.89999389648438</v>
      </c>
      <c r="U21" s="118" t="s">
        <v>23</v>
      </c>
      <c r="V21" s="113">
        <v>0</v>
      </c>
      <c r="W21" s="192"/>
      <c r="X21" s="192"/>
      <c r="Y21" s="193"/>
      <c r="Z21" s="96">
        <f t="shared" si="2"/>
        <v>2.6702880859375E-5</v>
      </c>
    </row>
    <row r="22" spans="1:26" x14ac:dyDescent="0.2">
      <c r="B22" s="161"/>
      <c r="C22" s="169"/>
      <c r="D22" s="41" t="s">
        <v>61</v>
      </c>
      <c r="E22" s="119">
        <v>15.600000381469727</v>
      </c>
      <c r="F22" s="119">
        <v>15.600000381469727</v>
      </c>
      <c r="G22" s="119">
        <f t="shared" si="6"/>
        <v>0</v>
      </c>
      <c r="H22" s="119">
        <v>0</v>
      </c>
      <c r="I22" s="127">
        <v>0</v>
      </c>
      <c r="J22" s="127">
        <v>0</v>
      </c>
      <c r="K22" s="127">
        <v>0</v>
      </c>
      <c r="L22" s="127">
        <v>0</v>
      </c>
      <c r="M22" s="117">
        <v>0</v>
      </c>
      <c r="N22" s="120">
        <v>0</v>
      </c>
      <c r="O22" s="119">
        <v>0</v>
      </c>
      <c r="P22" s="119">
        <v>0</v>
      </c>
      <c r="Q22" s="120">
        <f t="shared" si="7"/>
        <v>0</v>
      </c>
      <c r="R22" s="119">
        <v>0</v>
      </c>
      <c r="S22" s="119">
        <v>0</v>
      </c>
      <c r="T22" s="119">
        <v>0</v>
      </c>
      <c r="U22" s="118" t="s">
        <v>23</v>
      </c>
      <c r="V22" s="113">
        <v>0</v>
      </c>
      <c r="W22" s="192"/>
      <c r="X22" s="192"/>
      <c r="Y22" s="193"/>
      <c r="Z22" s="96">
        <f t="shared" si="2"/>
        <v>0</v>
      </c>
    </row>
    <row r="23" spans="1:26" s="84" customFormat="1" x14ac:dyDescent="0.2">
      <c r="A23" s="51"/>
      <c r="B23" s="161"/>
      <c r="C23" s="169"/>
      <c r="D23" s="80" t="s">
        <v>144</v>
      </c>
      <c r="E23" s="119">
        <v>25</v>
      </c>
      <c r="F23" s="119">
        <v>25</v>
      </c>
      <c r="G23" s="119">
        <f t="shared" si="6"/>
        <v>0</v>
      </c>
      <c r="H23" s="119">
        <v>0</v>
      </c>
      <c r="I23" s="127"/>
      <c r="J23" s="127"/>
      <c r="K23" s="127"/>
      <c r="L23" s="127"/>
      <c r="M23" s="117"/>
      <c r="N23" s="120"/>
      <c r="O23" s="119"/>
      <c r="P23" s="119"/>
      <c r="Q23" s="120">
        <f t="shared" si="7"/>
        <v>0</v>
      </c>
      <c r="R23" s="119">
        <v>0</v>
      </c>
      <c r="S23" s="119"/>
      <c r="T23" s="119"/>
      <c r="U23" s="118" t="s">
        <v>23</v>
      </c>
      <c r="V23" s="113">
        <v>0</v>
      </c>
      <c r="W23" s="192"/>
      <c r="X23" s="192"/>
      <c r="Y23" s="193"/>
      <c r="Z23" s="96">
        <f t="shared" si="2"/>
        <v>0</v>
      </c>
    </row>
    <row r="24" spans="1:26" s="84" customFormat="1" x14ac:dyDescent="0.2">
      <c r="A24" s="51"/>
      <c r="B24" s="161"/>
      <c r="C24" s="169"/>
      <c r="D24" s="80" t="s">
        <v>121</v>
      </c>
      <c r="E24" s="119">
        <v>5</v>
      </c>
      <c r="F24" s="119">
        <v>5</v>
      </c>
      <c r="G24" s="119">
        <f t="shared" si="6"/>
        <v>0</v>
      </c>
      <c r="H24" s="119">
        <v>0</v>
      </c>
      <c r="I24" s="127"/>
      <c r="J24" s="127"/>
      <c r="K24" s="127"/>
      <c r="L24" s="127"/>
      <c r="M24" s="117"/>
      <c r="N24" s="120"/>
      <c r="O24" s="119"/>
      <c r="P24" s="119"/>
      <c r="Q24" s="120">
        <f>SUM(R24)</f>
        <v>0</v>
      </c>
      <c r="R24" s="119">
        <v>0</v>
      </c>
      <c r="S24" s="119"/>
      <c r="T24" s="119"/>
      <c r="U24" s="118" t="s">
        <v>23</v>
      </c>
      <c r="V24" s="113">
        <v>0</v>
      </c>
      <c r="W24" s="192"/>
      <c r="X24" s="192"/>
      <c r="Y24" s="193"/>
      <c r="Z24" s="96">
        <f t="shared" si="2"/>
        <v>0</v>
      </c>
    </row>
    <row r="25" spans="1:26" s="84" customFormat="1" x14ac:dyDescent="0.2">
      <c r="A25" s="51"/>
      <c r="B25" s="161"/>
      <c r="C25" s="169"/>
      <c r="D25" s="80" t="s">
        <v>130</v>
      </c>
      <c r="E25" s="119">
        <v>5</v>
      </c>
      <c r="F25" s="119">
        <v>5</v>
      </c>
      <c r="G25" s="119">
        <f t="shared" si="6"/>
        <v>0</v>
      </c>
      <c r="H25" s="119">
        <v>0</v>
      </c>
      <c r="I25" s="127"/>
      <c r="J25" s="127"/>
      <c r="K25" s="127"/>
      <c r="L25" s="127"/>
      <c r="M25" s="117"/>
      <c r="N25" s="120"/>
      <c r="O25" s="119"/>
      <c r="P25" s="119"/>
      <c r="Q25" s="120">
        <f>SUM(R25)</f>
        <v>0</v>
      </c>
      <c r="R25" s="119">
        <v>0</v>
      </c>
      <c r="S25" s="119"/>
      <c r="T25" s="119"/>
      <c r="U25" s="118" t="s">
        <v>23</v>
      </c>
      <c r="V25" s="113">
        <v>0</v>
      </c>
      <c r="W25" s="192"/>
      <c r="X25" s="192"/>
      <c r="Y25" s="193"/>
      <c r="Z25" s="96">
        <f t="shared" si="2"/>
        <v>0</v>
      </c>
    </row>
    <row r="26" spans="1:26" s="84" customFormat="1" x14ac:dyDescent="0.2">
      <c r="A26" s="51"/>
      <c r="B26" s="161"/>
      <c r="C26" s="169"/>
      <c r="D26" s="80" t="s">
        <v>140</v>
      </c>
      <c r="E26" s="119">
        <v>5</v>
      </c>
      <c r="F26" s="119">
        <v>5</v>
      </c>
      <c r="G26" s="119">
        <f t="shared" si="6"/>
        <v>0</v>
      </c>
      <c r="H26" s="119">
        <v>0</v>
      </c>
      <c r="I26" s="127"/>
      <c r="J26" s="127"/>
      <c r="K26" s="127"/>
      <c r="L26" s="127"/>
      <c r="M26" s="117"/>
      <c r="N26" s="120"/>
      <c r="O26" s="119"/>
      <c r="P26" s="119"/>
      <c r="Q26" s="120">
        <f>SUM(R26)</f>
        <v>0</v>
      </c>
      <c r="R26" s="119">
        <v>0</v>
      </c>
      <c r="S26" s="119"/>
      <c r="T26" s="119"/>
      <c r="U26" s="118" t="s">
        <v>23</v>
      </c>
      <c r="V26" s="113">
        <v>0</v>
      </c>
      <c r="W26" s="192"/>
      <c r="X26" s="192"/>
      <c r="Y26" s="193"/>
      <c r="Z26" s="96">
        <f t="shared" si="2"/>
        <v>0</v>
      </c>
    </row>
    <row r="27" spans="1:26" s="84" customFormat="1" x14ac:dyDescent="0.2">
      <c r="A27" s="51"/>
      <c r="B27" s="161"/>
      <c r="C27" s="169"/>
      <c r="D27" s="80" t="s">
        <v>141</v>
      </c>
      <c r="E27" s="119">
        <v>25</v>
      </c>
      <c r="F27" s="119">
        <v>25</v>
      </c>
      <c r="G27" s="119">
        <f t="shared" si="6"/>
        <v>0</v>
      </c>
      <c r="H27" s="119">
        <v>0</v>
      </c>
      <c r="I27" s="127"/>
      <c r="J27" s="127"/>
      <c r="K27" s="127"/>
      <c r="L27" s="127"/>
      <c r="M27" s="117"/>
      <c r="N27" s="120"/>
      <c r="O27" s="119"/>
      <c r="P27" s="119"/>
      <c r="Q27" s="120">
        <f>SUM(R27)</f>
        <v>0</v>
      </c>
      <c r="R27" s="119">
        <v>0</v>
      </c>
      <c r="S27" s="119"/>
      <c r="T27" s="119"/>
      <c r="U27" s="118" t="s">
        <v>23</v>
      </c>
      <c r="V27" s="113">
        <v>0</v>
      </c>
      <c r="W27" s="192"/>
      <c r="X27" s="192"/>
      <c r="Y27" s="193"/>
      <c r="Z27" s="96">
        <f t="shared" si="2"/>
        <v>0</v>
      </c>
    </row>
    <row r="28" spans="1:26" s="84" customFormat="1" x14ac:dyDescent="0.2">
      <c r="A28" s="51"/>
      <c r="B28" s="161"/>
      <c r="C28" s="169"/>
      <c r="D28" s="80" t="s">
        <v>138</v>
      </c>
      <c r="E28" s="119">
        <v>5</v>
      </c>
      <c r="F28" s="119">
        <v>5</v>
      </c>
      <c r="G28" s="119">
        <f t="shared" si="6"/>
        <v>0</v>
      </c>
      <c r="H28" s="119">
        <v>0</v>
      </c>
      <c r="I28" s="127"/>
      <c r="J28" s="127"/>
      <c r="K28" s="127"/>
      <c r="L28" s="127"/>
      <c r="M28" s="117"/>
      <c r="N28" s="120"/>
      <c r="O28" s="119"/>
      <c r="P28" s="119"/>
      <c r="Q28" s="120">
        <f>SUM(R28)</f>
        <v>0</v>
      </c>
      <c r="R28" s="119">
        <v>0</v>
      </c>
      <c r="S28" s="119"/>
      <c r="T28" s="119"/>
      <c r="U28" s="122" t="s">
        <v>23</v>
      </c>
      <c r="V28" s="113">
        <v>0</v>
      </c>
      <c r="W28" s="192"/>
      <c r="X28" s="192"/>
      <c r="Y28" s="193"/>
      <c r="Z28" s="96">
        <f t="shared" si="2"/>
        <v>0</v>
      </c>
    </row>
    <row r="29" spans="1:26" s="84" customFormat="1" x14ac:dyDescent="0.2">
      <c r="A29" s="51"/>
      <c r="B29" s="161"/>
      <c r="C29" s="169"/>
      <c r="D29" s="80" t="s">
        <v>159</v>
      </c>
      <c r="E29" s="119">
        <v>40</v>
      </c>
      <c r="F29" s="119">
        <v>40</v>
      </c>
      <c r="G29" s="119">
        <v>0</v>
      </c>
      <c r="H29" s="119">
        <v>0</v>
      </c>
      <c r="I29" s="127"/>
      <c r="J29" s="127"/>
      <c r="K29" s="127"/>
      <c r="L29" s="127"/>
      <c r="M29" s="117"/>
      <c r="N29" s="120"/>
      <c r="O29" s="119"/>
      <c r="P29" s="119"/>
      <c r="Q29" s="120">
        <v>0</v>
      </c>
      <c r="R29" s="119">
        <v>0</v>
      </c>
      <c r="S29" s="119"/>
      <c r="T29" s="119"/>
      <c r="U29" s="122" t="s">
        <v>23</v>
      </c>
      <c r="V29" s="113">
        <v>0</v>
      </c>
      <c r="W29" s="192"/>
      <c r="X29" s="192"/>
      <c r="Y29" s="193"/>
      <c r="Z29" s="96">
        <f t="shared" si="2"/>
        <v>0</v>
      </c>
    </row>
    <row r="30" spans="1:26" s="84" customFormat="1" x14ac:dyDescent="0.2">
      <c r="A30" s="51"/>
      <c r="B30" s="161"/>
      <c r="C30" s="169"/>
      <c r="D30" s="80" t="s">
        <v>160</v>
      </c>
      <c r="E30" s="119">
        <v>10</v>
      </c>
      <c r="F30" s="119">
        <v>10</v>
      </c>
      <c r="G30" s="119">
        <v>0</v>
      </c>
      <c r="H30" s="119">
        <v>0</v>
      </c>
      <c r="I30" s="127"/>
      <c r="J30" s="127"/>
      <c r="K30" s="127"/>
      <c r="L30" s="127"/>
      <c r="M30" s="117"/>
      <c r="N30" s="120"/>
      <c r="O30" s="119"/>
      <c r="P30" s="119"/>
      <c r="Q30" s="120">
        <v>0</v>
      </c>
      <c r="R30" s="119">
        <v>0</v>
      </c>
      <c r="S30" s="119"/>
      <c r="T30" s="119"/>
      <c r="U30" s="122" t="s">
        <v>23</v>
      </c>
      <c r="V30" s="113">
        <v>0</v>
      </c>
      <c r="W30" s="192"/>
      <c r="X30" s="192"/>
      <c r="Y30" s="193"/>
      <c r="Z30" s="96">
        <f t="shared" si="2"/>
        <v>0</v>
      </c>
    </row>
    <row r="31" spans="1:26" x14ac:dyDescent="0.2">
      <c r="B31" s="161"/>
      <c r="C31" s="169"/>
      <c r="D31" s="41" t="s">
        <v>43</v>
      </c>
      <c r="E31" s="119">
        <v>249.5</v>
      </c>
      <c r="F31" s="120">
        <v>33</v>
      </c>
      <c r="G31" s="120">
        <f>SUM(E31)-SUM(F31)+V31</f>
        <v>216.5</v>
      </c>
      <c r="H31" s="120">
        <v>120</v>
      </c>
      <c r="I31" s="117">
        <v>60</v>
      </c>
      <c r="J31" s="117">
        <v>0</v>
      </c>
      <c r="K31" s="117">
        <v>0</v>
      </c>
      <c r="L31" s="127">
        <v>60</v>
      </c>
      <c r="M31" s="117">
        <v>0</v>
      </c>
      <c r="N31" s="117">
        <v>0</v>
      </c>
      <c r="O31" s="120">
        <v>0</v>
      </c>
      <c r="P31" s="120">
        <v>16</v>
      </c>
      <c r="Q31" s="120">
        <f>SUM(R31:T31)</f>
        <v>80.499996185302734</v>
      </c>
      <c r="R31" s="120">
        <v>80.184532165527344</v>
      </c>
      <c r="S31" s="120">
        <v>0.31546401977539063</v>
      </c>
      <c r="T31" s="120">
        <v>0</v>
      </c>
      <c r="U31" s="122" t="s">
        <v>23</v>
      </c>
      <c r="V31" s="113">
        <v>0</v>
      </c>
      <c r="W31" s="192"/>
      <c r="X31" s="192"/>
      <c r="Y31" s="193"/>
      <c r="Z31" s="96">
        <f t="shared" si="2"/>
        <v>3.814697265625E-6</v>
      </c>
    </row>
    <row r="32" spans="1:26" ht="13.5" thickBot="1" x14ac:dyDescent="0.25">
      <c r="B32" s="161"/>
      <c r="C32" s="169"/>
      <c r="D32" s="80" t="s">
        <v>62</v>
      </c>
      <c r="E32" s="119">
        <v>200</v>
      </c>
      <c r="F32" s="120">
        <v>0</v>
      </c>
      <c r="G32" s="120">
        <f>SUM(E32)-SUM(F32)+V32</f>
        <v>200</v>
      </c>
      <c r="H32" s="120">
        <v>120</v>
      </c>
      <c r="I32" s="120">
        <v>60</v>
      </c>
      <c r="J32" s="120">
        <v>0</v>
      </c>
      <c r="K32" s="120">
        <v>0</v>
      </c>
      <c r="L32" s="130">
        <v>60</v>
      </c>
      <c r="M32" s="120">
        <v>0</v>
      </c>
      <c r="N32" s="120">
        <v>0</v>
      </c>
      <c r="O32" s="120">
        <v>0</v>
      </c>
      <c r="P32" s="120">
        <v>16</v>
      </c>
      <c r="Q32" s="120">
        <f>SUM(R32:T32)</f>
        <v>64</v>
      </c>
      <c r="R32" s="120">
        <v>63.684535980224609</v>
      </c>
      <c r="S32" s="120">
        <v>0.31546401977539063</v>
      </c>
      <c r="T32" s="120">
        <v>0</v>
      </c>
      <c r="U32" s="122" t="s">
        <v>23</v>
      </c>
      <c r="V32" s="113">
        <v>0</v>
      </c>
      <c r="W32" s="192"/>
      <c r="X32" s="192"/>
      <c r="Y32" s="193"/>
      <c r="Z32" s="96">
        <f t="shared" si="2"/>
        <v>0</v>
      </c>
    </row>
    <row r="33" spans="1:26" ht="13.5" thickBot="1" x14ac:dyDescent="0.25">
      <c r="B33" s="74" t="s">
        <v>151</v>
      </c>
      <c r="C33" s="75">
        <v>43859.625</v>
      </c>
      <c r="D33" s="77"/>
      <c r="E33" s="109">
        <f t="shared" ref="E33:T33" si="8">SUM(E34:E43)</f>
        <v>5528.3400268554688</v>
      </c>
      <c r="F33" s="110">
        <f t="shared" si="8"/>
        <v>447.67935148239133</v>
      </c>
      <c r="G33" s="110">
        <f t="shared" si="8"/>
        <v>5093.125334467888</v>
      </c>
      <c r="H33" s="111">
        <f t="shared" si="8"/>
        <v>442</v>
      </c>
      <c r="I33" s="111">
        <f t="shared" si="8"/>
        <v>0</v>
      </c>
      <c r="J33" s="111">
        <f t="shared" si="8"/>
        <v>0</v>
      </c>
      <c r="K33" s="111">
        <f t="shared" si="8"/>
        <v>307</v>
      </c>
      <c r="L33" s="110">
        <f t="shared" si="8"/>
        <v>135</v>
      </c>
      <c r="M33" s="111">
        <f t="shared" si="8"/>
        <v>0</v>
      </c>
      <c r="N33" s="111">
        <f t="shared" si="8"/>
        <v>0</v>
      </c>
      <c r="O33" s="111">
        <f t="shared" si="8"/>
        <v>0</v>
      </c>
      <c r="P33" s="111">
        <f t="shared" si="8"/>
        <v>147</v>
      </c>
      <c r="Q33" s="111">
        <f t="shared" si="8"/>
        <v>4504.1227059364319</v>
      </c>
      <c r="R33" s="111">
        <f t="shared" si="8"/>
        <v>3091.3756484985352</v>
      </c>
      <c r="S33" s="111">
        <f t="shared" si="8"/>
        <v>147.60705804824829</v>
      </c>
      <c r="T33" s="111">
        <f t="shared" si="8"/>
        <v>1265.1399993896484</v>
      </c>
      <c r="U33" s="110" t="s">
        <v>23</v>
      </c>
      <c r="V33" s="111">
        <f>SUM(V34:V43)</f>
        <v>12.464659094810486</v>
      </c>
      <c r="W33" s="23">
        <v>4104.65625</v>
      </c>
      <c r="X33" s="16">
        <v>4152.3720703125</v>
      </c>
      <c r="Y33" s="17">
        <v>93325.258666992188</v>
      </c>
      <c r="Z33" s="96">
        <f t="shared" ref="Z33:Z46" si="9">E33-F33-H33-M33-N33-O33-P33-Q33+V33</f>
        <v>2.6285314561391715E-3</v>
      </c>
    </row>
    <row r="34" spans="1:26" x14ac:dyDescent="0.2">
      <c r="B34" s="159"/>
      <c r="C34" s="168"/>
      <c r="D34" s="79" t="s">
        <v>63</v>
      </c>
      <c r="E34" s="112">
        <v>1345.4000244140625</v>
      </c>
      <c r="F34" s="113">
        <v>5.4000000953674316</v>
      </c>
      <c r="G34" s="113">
        <f t="shared" ref="G34:G47" si="10">SUM(E34)-SUM(F34)+V34</f>
        <v>1341.1756509542465</v>
      </c>
      <c r="H34" s="113">
        <v>50</v>
      </c>
      <c r="I34" s="113">
        <v>0</v>
      </c>
      <c r="J34" s="113">
        <v>0</v>
      </c>
      <c r="K34" s="113">
        <v>50</v>
      </c>
      <c r="L34" s="126">
        <v>0</v>
      </c>
      <c r="M34" s="113">
        <v>0</v>
      </c>
      <c r="N34" s="113">
        <v>0</v>
      </c>
      <c r="O34" s="113">
        <v>0</v>
      </c>
      <c r="P34" s="113">
        <v>0</v>
      </c>
      <c r="Q34" s="113">
        <f t="shared" ref="Q34:Q47" si="11">SUM(R34:T34)</f>
        <v>1291.1756153106689</v>
      </c>
      <c r="R34" s="113">
        <v>923.2744140625</v>
      </c>
      <c r="S34" s="113">
        <v>27.901201248168945</v>
      </c>
      <c r="T34" s="113">
        <v>340</v>
      </c>
      <c r="U34" s="115" t="s">
        <v>23</v>
      </c>
      <c r="V34" s="113">
        <v>1.1756266355514526</v>
      </c>
      <c r="W34" s="192"/>
      <c r="X34" s="192"/>
      <c r="Y34" s="193"/>
      <c r="Z34" s="96">
        <f t="shared" si="9"/>
        <v>3.5643577575683594E-5</v>
      </c>
    </row>
    <row r="35" spans="1:26" x14ac:dyDescent="0.2">
      <c r="B35" s="164"/>
      <c r="C35" s="169"/>
      <c r="D35" s="40" t="s">
        <v>64</v>
      </c>
      <c r="E35" s="116">
        <v>1260</v>
      </c>
      <c r="F35" s="117">
        <v>0</v>
      </c>
      <c r="G35" s="117">
        <f t="shared" si="10"/>
        <v>1260</v>
      </c>
      <c r="H35" s="117">
        <v>340</v>
      </c>
      <c r="I35" s="117">
        <v>0</v>
      </c>
      <c r="J35" s="117">
        <v>0</v>
      </c>
      <c r="K35" s="117">
        <v>230</v>
      </c>
      <c r="L35" s="117">
        <v>110</v>
      </c>
      <c r="M35" s="117">
        <v>0</v>
      </c>
      <c r="N35" s="117">
        <v>0</v>
      </c>
      <c r="O35" s="117">
        <v>0</v>
      </c>
      <c r="P35" s="117">
        <v>0</v>
      </c>
      <c r="Q35" s="117">
        <f t="shared" si="11"/>
        <v>919.99996948242188</v>
      </c>
      <c r="R35" s="117">
        <v>678.76483154296875</v>
      </c>
      <c r="S35" s="117">
        <v>41.235137939453125</v>
      </c>
      <c r="T35" s="117">
        <v>200</v>
      </c>
      <c r="U35" s="118" t="s">
        <v>23</v>
      </c>
      <c r="V35" s="117">
        <v>0</v>
      </c>
      <c r="W35" s="192"/>
      <c r="X35" s="192"/>
      <c r="Y35" s="193"/>
      <c r="Z35" s="96">
        <f t="shared" si="9"/>
        <v>3.0517578125E-5</v>
      </c>
    </row>
    <row r="36" spans="1:26" x14ac:dyDescent="0.2">
      <c r="B36" s="164"/>
      <c r="C36" s="169"/>
      <c r="D36" s="40" t="s">
        <v>65</v>
      </c>
      <c r="E36" s="116">
        <v>554</v>
      </c>
      <c r="F36" s="117">
        <v>26</v>
      </c>
      <c r="G36" s="117">
        <f t="shared" si="10"/>
        <v>528</v>
      </c>
      <c r="H36" s="117">
        <v>27</v>
      </c>
      <c r="I36" s="117">
        <v>0</v>
      </c>
      <c r="J36" s="117">
        <v>0</v>
      </c>
      <c r="K36" s="117">
        <v>27</v>
      </c>
      <c r="L36" s="131">
        <v>0</v>
      </c>
      <c r="M36" s="117">
        <v>0</v>
      </c>
      <c r="N36" s="117">
        <v>0</v>
      </c>
      <c r="O36" s="117">
        <v>0</v>
      </c>
      <c r="P36" s="117">
        <v>147</v>
      </c>
      <c r="Q36" s="117">
        <f t="shared" si="11"/>
        <v>354.000004529953</v>
      </c>
      <c r="R36" s="117">
        <v>211.73532104492188</v>
      </c>
      <c r="S36" s="117">
        <v>1.2646834850311279</v>
      </c>
      <c r="T36" s="117">
        <v>141</v>
      </c>
      <c r="U36" s="118" t="s">
        <v>23</v>
      </c>
      <c r="V36" s="117">
        <v>0</v>
      </c>
      <c r="W36" s="192"/>
      <c r="X36" s="192"/>
      <c r="Y36" s="193"/>
      <c r="Z36" s="96">
        <f t="shared" si="9"/>
        <v>-4.5299530029296875E-6</v>
      </c>
    </row>
    <row r="37" spans="1:26" x14ac:dyDescent="0.2">
      <c r="B37" s="164"/>
      <c r="C37" s="169"/>
      <c r="D37" s="40" t="s">
        <v>66</v>
      </c>
      <c r="E37" s="116">
        <v>485</v>
      </c>
      <c r="F37" s="117">
        <v>33.5</v>
      </c>
      <c r="G37" s="117">
        <f t="shared" si="10"/>
        <v>452.77416372299194</v>
      </c>
      <c r="H37" s="117">
        <v>0</v>
      </c>
      <c r="I37" s="117">
        <v>0</v>
      </c>
      <c r="J37" s="117">
        <v>0</v>
      </c>
      <c r="K37" s="117">
        <v>0</v>
      </c>
      <c r="L37" s="131">
        <v>0</v>
      </c>
      <c r="M37" s="117">
        <v>0</v>
      </c>
      <c r="N37" s="117">
        <v>0</v>
      </c>
      <c r="O37" s="117">
        <v>0</v>
      </c>
      <c r="P37" s="117">
        <v>0</v>
      </c>
      <c r="Q37" s="117">
        <f t="shared" si="11"/>
        <v>452.7741584777832</v>
      </c>
      <c r="R37" s="117">
        <v>297.86898803710938</v>
      </c>
      <c r="S37" s="117">
        <v>35.905170440673828</v>
      </c>
      <c r="T37" s="117">
        <v>119</v>
      </c>
      <c r="U37" s="118" t="s">
        <v>23</v>
      </c>
      <c r="V37" s="117">
        <v>1.2741637229919434</v>
      </c>
      <c r="W37" s="192"/>
      <c r="X37" s="192"/>
      <c r="Y37" s="193"/>
      <c r="Z37" s="96">
        <f t="shared" si="9"/>
        <v>5.245208740234375E-6</v>
      </c>
    </row>
    <row r="38" spans="1:26" x14ac:dyDescent="0.2">
      <c r="B38" s="164"/>
      <c r="C38" s="169"/>
      <c r="D38" s="40" t="s">
        <v>67</v>
      </c>
      <c r="E38" s="116">
        <v>600</v>
      </c>
      <c r="F38" s="117">
        <v>97.99</v>
      </c>
      <c r="G38" s="117">
        <f t="shared" si="10"/>
        <v>507.78386665344237</v>
      </c>
      <c r="H38" s="117">
        <v>0</v>
      </c>
      <c r="I38" s="117">
        <v>0</v>
      </c>
      <c r="J38" s="117">
        <v>0</v>
      </c>
      <c r="K38" s="117">
        <v>0</v>
      </c>
      <c r="L38" s="131">
        <v>0</v>
      </c>
      <c r="M38" s="117">
        <v>0</v>
      </c>
      <c r="N38" s="117">
        <v>0</v>
      </c>
      <c r="O38" s="117">
        <v>0</v>
      </c>
      <c r="P38" s="117">
        <v>0</v>
      </c>
      <c r="Q38" s="117">
        <f t="shared" si="11"/>
        <v>507.78079223632813</v>
      </c>
      <c r="R38" s="117">
        <v>507.78079223632813</v>
      </c>
      <c r="S38" s="117">
        <v>0</v>
      </c>
      <c r="T38" s="117">
        <v>0</v>
      </c>
      <c r="U38" s="118" t="s">
        <v>23</v>
      </c>
      <c r="V38" s="117">
        <v>5.7738666534423828</v>
      </c>
      <c r="W38" s="192"/>
      <c r="X38" s="192"/>
      <c r="Y38" s="193"/>
      <c r="Z38" s="96">
        <f t="shared" si="9"/>
        <v>3.0744171142487176E-3</v>
      </c>
    </row>
    <row r="39" spans="1:26" x14ac:dyDescent="0.2">
      <c r="B39" s="164"/>
      <c r="C39" s="169"/>
      <c r="D39" s="40" t="s">
        <v>68</v>
      </c>
      <c r="E39" s="116">
        <v>80</v>
      </c>
      <c r="F39" s="117">
        <v>39.963996887207031</v>
      </c>
      <c r="G39" s="117">
        <f t="shared" si="10"/>
        <v>40.036003112792969</v>
      </c>
      <c r="H39" s="117">
        <v>0</v>
      </c>
      <c r="I39" s="117">
        <v>0</v>
      </c>
      <c r="J39" s="117">
        <v>0</v>
      </c>
      <c r="K39" s="117">
        <v>0</v>
      </c>
      <c r="L39" s="131">
        <v>0</v>
      </c>
      <c r="M39" s="117">
        <v>0</v>
      </c>
      <c r="N39" s="117">
        <v>0</v>
      </c>
      <c r="O39" s="117">
        <v>0</v>
      </c>
      <c r="P39" s="117">
        <v>0</v>
      </c>
      <c r="Q39" s="117">
        <f t="shared" si="11"/>
        <v>40.036003112792969</v>
      </c>
      <c r="R39" s="117">
        <v>40.036003112792969</v>
      </c>
      <c r="S39" s="117">
        <v>0</v>
      </c>
      <c r="T39" s="117">
        <v>0</v>
      </c>
      <c r="U39" s="118" t="s">
        <v>23</v>
      </c>
      <c r="V39" s="117">
        <v>0</v>
      </c>
      <c r="W39" s="192"/>
      <c r="X39" s="192"/>
      <c r="Y39" s="193"/>
      <c r="Z39" s="96">
        <f t="shared" si="9"/>
        <v>0</v>
      </c>
    </row>
    <row r="40" spans="1:26" x14ac:dyDescent="0.2">
      <c r="B40" s="164"/>
      <c r="C40" s="169"/>
      <c r="D40" s="40" t="s">
        <v>69</v>
      </c>
      <c r="E40" s="116">
        <v>580</v>
      </c>
      <c r="F40" s="117">
        <v>138.30000305175781</v>
      </c>
      <c r="G40" s="117">
        <f t="shared" si="10"/>
        <v>441.69999694824219</v>
      </c>
      <c r="H40" s="117">
        <v>0</v>
      </c>
      <c r="I40" s="117">
        <v>0</v>
      </c>
      <c r="J40" s="117">
        <v>0</v>
      </c>
      <c r="K40" s="117">
        <v>0</v>
      </c>
      <c r="L40" s="131">
        <v>0</v>
      </c>
      <c r="M40" s="117">
        <v>0</v>
      </c>
      <c r="N40" s="117">
        <v>0</v>
      </c>
      <c r="O40" s="117">
        <v>0</v>
      </c>
      <c r="P40" s="117">
        <v>0</v>
      </c>
      <c r="Q40" s="117">
        <f t="shared" si="11"/>
        <v>441.69998931884766</v>
      </c>
      <c r="R40" s="117">
        <v>240.93379211425781</v>
      </c>
      <c r="S40" s="117">
        <v>39.066200256347656</v>
      </c>
      <c r="T40" s="117">
        <v>161.69999694824219</v>
      </c>
      <c r="U40" s="118" t="s">
        <v>23</v>
      </c>
      <c r="V40" s="117">
        <v>0</v>
      </c>
      <c r="W40" s="192"/>
      <c r="X40" s="192"/>
      <c r="Y40" s="193"/>
      <c r="Z40" s="96">
        <f t="shared" si="9"/>
        <v>7.62939453125E-6</v>
      </c>
    </row>
    <row r="41" spans="1:26" x14ac:dyDescent="0.2">
      <c r="B41" s="164"/>
      <c r="C41" s="169"/>
      <c r="D41" s="40" t="s">
        <v>70</v>
      </c>
      <c r="E41" s="116">
        <v>108</v>
      </c>
      <c r="F41" s="117">
        <v>0</v>
      </c>
      <c r="G41" s="117">
        <f t="shared" si="10"/>
        <v>112.24100208282471</v>
      </c>
      <c r="H41" s="117">
        <v>0</v>
      </c>
      <c r="I41" s="117">
        <v>0</v>
      </c>
      <c r="J41" s="117">
        <v>0</v>
      </c>
      <c r="K41" s="117">
        <v>0</v>
      </c>
      <c r="L41" s="131">
        <v>0</v>
      </c>
      <c r="M41" s="117">
        <v>0</v>
      </c>
      <c r="N41" s="117">
        <v>0</v>
      </c>
      <c r="O41" s="117">
        <v>0</v>
      </c>
      <c r="P41" s="117">
        <v>0</v>
      </c>
      <c r="Q41" s="117">
        <f t="shared" si="11"/>
        <v>112.24100470542908</v>
      </c>
      <c r="R41" s="117">
        <v>104.00634002685547</v>
      </c>
      <c r="S41" s="117">
        <v>2.2346646785736084</v>
      </c>
      <c r="T41" s="117">
        <v>6</v>
      </c>
      <c r="U41" s="118" t="s">
        <v>23</v>
      </c>
      <c r="V41" s="117">
        <v>4.241002082824707</v>
      </c>
      <c r="W41" s="192"/>
      <c r="X41" s="192"/>
      <c r="Y41" s="193"/>
      <c r="Z41" s="96">
        <f t="shared" si="9"/>
        <v>-2.6226043701171875E-6</v>
      </c>
    </row>
    <row r="42" spans="1:26" x14ac:dyDescent="0.2">
      <c r="B42" s="164"/>
      <c r="C42" s="169"/>
      <c r="D42" s="41" t="s">
        <v>114</v>
      </c>
      <c r="E42" s="116">
        <v>297.44000244140625</v>
      </c>
      <c r="F42" s="117">
        <v>0</v>
      </c>
      <c r="G42" s="117">
        <f t="shared" si="10"/>
        <v>297.44000244140625</v>
      </c>
      <c r="H42" s="117">
        <v>0</v>
      </c>
      <c r="I42" s="117">
        <v>0</v>
      </c>
      <c r="J42" s="117">
        <v>0</v>
      </c>
      <c r="K42" s="117">
        <v>0</v>
      </c>
      <c r="L42" s="131">
        <v>0</v>
      </c>
      <c r="M42" s="117">
        <v>0</v>
      </c>
      <c r="N42" s="117">
        <v>0</v>
      </c>
      <c r="O42" s="117">
        <v>0</v>
      </c>
      <c r="P42" s="117">
        <v>0</v>
      </c>
      <c r="Q42" s="117">
        <f t="shared" si="11"/>
        <v>297.44000244140625</v>
      </c>
      <c r="R42" s="117">
        <v>0</v>
      </c>
      <c r="S42" s="117">
        <v>0</v>
      </c>
      <c r="T42" s="117">
        <v>297.44000244140625</v>
      </c>
      <c r="U42" s="118"/>
      <c r="V42" s="117">
        <v>0</v>
      </c>
      <c r="W42" s="192"/>
      <c r="X42" s="192"/>
      <c r="Y42" s="193"/>
      <c r="Z42" s="96">
        <f t="shared" si="9"/>
        <v>0</v>
      </c>
    </row>
    <row r="43" spans="1:26" x14ac:dyDescent="0.2">
      <c r="B43" s="164"/>
      <c r="C43" s="169"/>
      <c r="D43" s="41" t="s">
        <v>43</v>
      </c>
      <c r="E43" s="116">
        <v>218.5</v>
      </c>
      <c r="F43" s="117">
        <f>SUM(F44:F47)</f>
        <v>106.52535144805907</v>
      </c>
      <c r="G43" s="117">
        <f t="shared" si="10"/>
        <v>111.97464855194093</v>
      </c>
      <c r="H43" s="117">
        <f>H46</f>
        <v>25</v>
      </c>
      <c r="I43" s="117">
        <v>0</v>
      </c>
      <c r="J43" s="117">
        <v>0</v>
      </c>
      <c r="K43" s="117">
        <v>0</v>
      </c>
      <c r="L43" s="117">
        <f>L46</f>
        <v>25</v>
      </c>
      <c r="M43" s="117">
        <v>0</v>
      </c>
      <c r="N43" s="117">
        <v>0</v>
      </c>
      <c r="O43" s="117">
        <v>0</v>
      </c>
      <c r="P43" s="117">
        <v>0</v>
      </c>
      <c r="Q43" s="117">
        <f t="shared" si="11"/>
        <v>86.975166320800781</v>
      </c>
      <c r="R43" s="117">
        <v>86.975166320800781</v>
      </c>
      <c r="S43" s="117">
        <v>0</v>
      </c>
      <c r="T43" s="117">
        <v>0</v>
      </c>
      <c r="U43" s="118" t="s">
        <v>23</v>
      </c>
      <c r="V43" s="117">
        <v>0</v>
      </c>
      <c r="W43" s="192"/>
      <c r="X43" s="192"/>
      <c r="Y43" s="193"/>
      <c r="Z43" s="96">
        <f t="shared" si="9"/>
        <v>-5.177688598507757E-4</v>
      </c>
    </row>
    <row r="44" spans="1:26" x14ac:dyDescent="0.2">
      <c r="B44" s="164"/>
      <c r="C44" s="169"/>
      <c r="D44" s="40" t="s">
        <v>71</v>
      </c>
      <c r="E44" s="116">
        <v>100</v>
      </c>
      <c r="F44" s="117">
        <v>60.645351409912109</v>
      </c>
      <c r="G44" s="117">
        <f t="shared" si="10"/>
        <v>39.354648590087891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  <c r="O44" s="117">
        <v>0</v>
      </c>
      <c r="P44" s="117">
        <v>0</v>
      </c>
      <c r="Q44" s="117">
        <f t="shared" si="11"/>
        <v>39.354648590087891</v>
      </c>
      <c r="R44" s="117">
        <v>39.354648590087891</v>
      </c>
      <c r="S44" s="117">
        <v>0</v>
      </c>
      <c r="T44" s="117">
        <v>0</v>
      </c>
      <c r="U44" s="118" t="s">
        <v>23</v>
      </c>
      <c r="V44" s="117">
        <v>0</v>
      </c>
      <c r="W44" s="192"/>
      <c r="X44" s="192"/>
      <c r="Y44" s="193"/>
      <c r="Z44" s="96">
        <f t="shared" si="9"/>
        <v>0</v>
      </c>
    </row>
    <row r="45" spans="1:26" x14ac:dyDescent="0.2">
      <c r="B45" s="161"/>
      <c r="C45" s="169"/>
      <c r="D45" s="41" t="s">
        <v>16</v>
      </c>
      <c r="E45" s="116">
        <v>9.5</v>
      </c>
      <c r="F45" s="117">
        <v>5.4600000381469727</v>
      </c>
      <c r="G45" s="117">
        <f t="shared" si="10"/>
        <v>4.0399999618530273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 t="s">
        <v>23</v>
      </c>
      <c r="O45" s="117">
        <v>0</v>
      </c>
      <c r="P45" s="117">
        <v>0</v>
      </c>
      <c r="Q45" s="117">
        <f t="shared" si="11"/>
        <v>4.0399999618530273</v>
      </c>
      <c r="R45" s="117">
        <v>4.0399999618530273</v>
      </c>
      <c r="S45" s="117">
        <v>0</v>
      </c>
      <c r="T45" s="117">
        <v>0</v>
      </c>
      <c r="U45" s="118" t="s">
        <v>23</v>
      </c>
      <c r="V45" s="117">
        <v>0</v>
      </c>
      <c r="W45" s="192"/>
      <c r="X45" s="192"/>
      <c r="Y45" s="193"/>
      <c r="Z45" s="96" t="e">
        <f t="shared" si="9"/>
        <v>#VALUE!</v>
      </c>
    </row>
    <row r="46" spans="1:26" s="84" customFormat="1" x14ac:dyDescent="0.2">
      <c r="A46" s="51"/>
      <c r="B46" s="161"/>
      <c r="C46" s="169"/>
      <c r="D46" s="80" t="s">
        <v>72</v>
      </c>
      <c r="E46" s="119">
        <v>85</v>
      </c>
      <c r="F46" s="120">
        <f>40-0.49</f>
        <v>39.51</v>
      </c>
      <c r="G46" s="120">
        <f t="shared" si="10"/>
        <v>45.49</v>
      </c>
      <c r="H46" s="120">
        <v>25</v>
      </c>
      <c r="I46" s="120">
        <v>0</v>
      </c>
      <c r="J46" s="120">
        <v>0</v>
      </c>
      <c r="K46" s="120">
        <v>0</v>
      </c>
      <c r="L46" s="120">
        <v>25</v>
      </c>
      <c r="M46" s="120">
        <v>0</v>
      </c>
      <c r="N46" s="120">
        <v>0</v>
      </c>
      <c r="O46" s="120">
        <v>0</v>
      </c>
      <c r="P46" s="120">
        <v>0</v>
      </c>
      <c r="Q46" s="120">
        <f t="shared" si="11"/>
        <v>20.4866943359375</v>
      </c>
      <c r="R46" s="120">
        <v>20.4866943359375</v>
      </c>
      <c r="S46" s="120">
        <v>0</v>
      </c>
      <c r="T46" s="120">
        <v>0</v>
      </c>
      <c r="U46" s="122" t="s">
        <v>23</v>
      </c>
      <c r="V46" s="120">
        <v>0</v>
      </c>
      <c r="W46" s="192"/>
      <c r="X46" s="192"/>
      <c r="Y46" s="193"/>
      <c r="Z46" s="96">
        <f t="shared" si="9"/>
        <v>3.3056640625019895E-3</v>
      </c>
    </row>
    <row r="47" spans="1:26" ht="13.5" thickBot="1" x14ac:dyDescent="0.25">
      <c r="B47" s="161"/>
      <c r="C47" s="169"/>
      <c r="D47" s="80" t="s">
        <v>139</v>
      </c>
      <c r="E47" s="119">
        <v>24</v>
      </c>
      <c r="F47" s="120">
        <v>0.91</v>
      </c>
      <c r="G47" s="120">
        <f t="shared" si="10"/>
        <v>23.09</v>
      </c>
      <c r="H47" s="120"/>
      <c r="I47" s="120"/>
      <c r="J47" s="120"/>
      <c r="K47" s="120"/>
      <c r="L47" s="120"/>
      <c r="M47" s="120"/>
      <c r="N47" s="120"/>
      <c r="O47" s="120"/>
      <c r="P47" s="120"/>
      <c r="Q47" s="120">
        <f t="shared" si="11"/>
        <v>23.093820571899414</v>
      </c>
      <c r="R47" s="120">
        <v>23.093820571899414</v>
      </c>
      <c r="S47" s="120"/>
      <c r="T47" s="120"/>
      <c r="U47" s="122" t="s">
        <v>23</v>
      </c>
      <c r="V47" s="120">
        <v>0</v>
      </c>
      <c r="W47" s="192"/>
      <c r="X47" s="192"/>
      <c r="Y47" s="193"/>
      <c r="Z47" s="96">
        <f>E47-F47-R47+V47</f>
        <v>-3.8205718994142046E-3</v>
      </c>
    </row>
    <row r="48" spans="1:26" ht="13.5" thickBot="1" x14ac:dyDescent="0.25">
      <c r="B48" s="74" t="s">
        <v>152</v>
      </c>
      <c r="C48" s="75">
        <v>43859.625</v>
      </c>
      <c r="D48" s="77"/>
      <c r="E48" s="111">
        <f t="shared" ref="E48:T48" si="12">SUM(E49:E52)</f>
        <v>1036.4000120162964</v>
      </c>
      <c r="F48" s="111">
        <f t="shared" si="12"/>
        <v>84.816001129150294</v>
      </c>
      <c r="G48" s="111">
        <f t="shared" si="12"/>
        <v>951.64765993803746</v>
      </c>
      <c r="H48" s="111">
        <f t="shared" si="12"/>
        <v>110</v>
      </c>
      <c r="I48" s="111">
        <f t="shared" si="12"/>
        <v>0</v>
      </c>
      <c r="J48" s="111">
        <f t="shared" si="12"/>
        <v>0</v>
      </c>
      <c r="K48" s="111">
        <f t="shared" si="12"/>
        <v>0</v>
      </c>
      <c r="L48" s="111">
        <f t="shared" si="12"/>
        <v>110</v>
      </c>
      <c r="M48" s="111">
        <f t="shared" si="12"/>
        <v>0</v>
      </c>
      <c r="N48" s="111">
        <f t="shared" si="12"/>
        <v>0</v>
      </c>
      <c r="O48" s="111">
        <f t="shared" si="12"/>
        <v>0</v>
      </c>
      <c r="P48" s="111">
        <f t="shared" si="12"/>
        <v>0</v>
      </c>
      <c r="Q48" s="111">
        <f t="shared" si="12"/>
        <v>841.64906936883926</v>
      </c>
      <c r="R48" s="111">
        <f t="shared" si="12"/>
        <v>521.42912292480469</v>
      </c>
      <c r="S48" s="111">
        <f t="shared" si="12"/>
        <v>9.9359470009803772</v>
      </c>
      <c r="T48" s="111">
        <f t="shared" si="12"/>
        <v>310.2839994430542</v>
      </c>
      <c r="U48" s="110" t="s">
        <v>23</v>
      </c>
      <c r="V48" s="111">
        <f>SUM(V49:V52)</f>
        <v>6.3649050891399384E-2</v>
      </c>
      <c r="W48" s="23">
        <v>1108.2427978515625</v>
      </c>
      <c r="X48" s="16">
        <v>1152.7054443359375</v>
      </c>
      <c r="Y48" s="17">
        <v>25956.889556884766</v>
      </c>
      <c r="Z48" s="96">
        <f t="shared" ref="Z48:Z79" si="13">E48-F48-H48-M48-N48-O48-P48-Q48+V48</f>
        <v>-1.4094308018002266E-3</v>
      </c>
    </row>
    <row r="49" spans="1:26" x14ac:dyDescent="0.2">
      <c r="B49" s="159"/>
      <c r="C49" s="168"/>
      <c r="D49" s="79" t="s">
        <v>73</v>
      </c>
      <c r="E49" s="112">
        <v>331</v>
      </c>
      <c r="F49" s="113">
        <v>0</v>
      </c>
      <c r="G49" s="113">
        <f>SUM(E49)-SUM(F49)+V49</f>
        <v>331.0636490508914</v>
      </c>
      <c r="H49" s="113">
        <v>110</v>
      </c>
      <c r="I49" s="113">
        <v>0</v>
      </c>
      <c r="J49" s="113">
        <v>0</v>
      </c>
      <c r="K49" s="113">
        <v>0</v>
      </c>
      <c r="L49" s="126">
        <v>110</v>
      </c>
      <c r="M49" s="113">
        <v>0</v>
      </c>
      <c r="N49" s="113">
        <v>0</v>
      </c>
      <c r="O49" s="113">
        <v>0</v>
      </c>
      <c r="P49" s="113">
        <v>0</v>
      </c>
      <c r="Q49" s="113">
        <f>SUM(R49:T49)</f>
        <v>221.06365251541138</v>
      </c>
      <c r="R49" s="113">
        <v>148.09552001953125</v>
      </c>
      <c r="S49" s="113">
        <v>4.968132495880127</v>
      </c>
      <c r="T49" s="113">
        <v>68</v>
      </c>
      <c r="U49" s="115" t="s">
        <v>23</v>
      </c>
      <c r="V49" s="113">
        <v>6.3649050891399384E-2</v>
      </c>
      <c r="W49" s="192"/>
      <c r="X49" s="192"/>
      <c r="Y49" s="193"/>
      <c r="Z49" s="96">
        <f t="shared" si="13"/>
        <v>-3.4645199775695801E-6</v>
      </c>
    </row>
    <row r="50" spans="1:26" x14ac:dyDescent="0.2">
      <c r="B50" s="164"/>
      <c r="C50" s="169"/>
      <c r="D50" s="40" t="s">
        <v>74</v>
      </c>
      <c r="E50" s="116">
        <v>140</v>
      </c>
      <c r="F50" s="117">
        <v>0</v>
      </c>
      <c r="G50" s="117">
        <f>SUM(E50)-SUM(F50)+V50</f>
        <v>140</v>
      </c>
      <c r="H50" s="117">
        <v>0</v>
      </c>
      <c r="I50" s="117">
        <v>0</v>
      </c>
      <c r="J50" s="117">
        <v>0</v>
      </c>
      <c r="K50" s="117">
        <v>0</v>
      </c>
      <c r="L50" s="131">
        <v>0</v>
      </c>
      <c r="M50" s="117">
        <v>0</v>
      </c>
      <c r="N50" s="117">
        <v>0</v>
      </c>
      <c r="O50" s="117">
        <v>0</v>
      </c>
      <c r="P50" s="117">
        <v>0</v>
      </c>
      <c r="Q50" s="117">
        <f>SUM(R50:T50)</f>
        <v>139.99999570846558</v>
      </c>
      <c r="R50" s="117">
        <v>135.69407653808594</v>
      </c>
      <c r="S50" s="117">
        <v>4.3059191703796387</v>
      </c>
      <c r="T50" s="117">
        <v>0</v>
      </c>
      <c r="U50" s="118" t="s">
        <v>23</v>
      </c>
      <c r="V50" s="117">
        <v>0</v>
      </c>
      <c r="W50" s="192"/>
      <c r="X50" s="192"/>
      <c r="Y50" s="193"/>
      <c r="Z50" s="96">
        <f t="shared" si="13"/>
        <v>4.291534423828125E-6</v>
      </c>
    </row>
    <row r="51" spans="1:26" x14ac:dyDescent="0.2">
      <c r="B51" s="161"/>
      <c r="C51" s="169"/>
      <c r="D51" s="41" t="s">
        <v>131</v>
      </c>
      <c r="E51" s="116">
        <v>14.699999809265137</v>
      </c>
      <c r="F51" s="117">
        <v>0</v>
      </c>
      <c r="G51" s="117">
        <f>SUM(E51)-SUM(F51)+V51</f>
        <v>14.699999809265137</v>
      </c>
      <c r="H51" s="117">
        <v>0</v>
      </c>
      <c r="I51" s="117">
        <v>0</v>
      </c>
      <c r="J51" s="117">
        <v>0</v>
      </c>
      <c r="K51" s="117">
        <v>0</v>
      </c>
      <c r="L51" s="131">
        <v>0</v>
      </c>
      <c r="M51" s="117">
        <v>0</v>
      </c>
      <c r="N51" s="117">
        <v>0</v>
      </c>
      <c r="O51" s="117">
        <v>0</v>
      </c>
      <c r="P51" s="117">
        <v>0</v>
      </c>
      <c r="Q51" s="117">
        <f>SUM(R51:T51)</f>
        <v>14.699999809265137</v>
      </c>
      <c r="R51" s="117">
        <v>0</v>
      </c>
      <c r="S51" s="117">
        <v>0</v>
      </c>
      <c r="T51" s="117">
        <v>14.699999809265137</v>
      </c>
      <c r="U51" s="118" t="s">
        <v>23</v>
      </c>
      <c r="V51" s="117">
        <v>0</v>
      </c>
      <c r="W51" s="192"/>
      <c r="X51" s="192"/>
      <c r="Y51" s="193"/>
      <c r="Z51" s="96">
        <f t="shared" si="13"/>
        <v>0</v>
      </c>
    </row>
    <row r="52" spans="1:26" x14ac:dyDescent="0.2">
      <c r="B52" s="161"/>
      <c r="C52" s="169"/>
      <c r="D52" s="41" t="s">
        <v>43</v>
      </c>
      <c r="E52" s="117">
        <v>550.70001220703125</v>
      </c>
      <c r="F52" s="117">
        <f>45.1160011291503+35.2+4.5</f>
        <v>84.816001129150294</v>
      </c>
      <c r="G52" s="117">
        <f>SUM(E52)-SUM(F52)+V52</f>
        <v>465.88401107788093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  <c r="O52" s="117">
        <v>0</v>
      </c>
      <c r="P52" s="117">
        <v>0</v>
      </c>
      <c r="Q52" s="117">
        <f>SUM(R52:T52)</f>
        <v>465.88542133569717</v>
      </c>
      <c r="R52" s="117">
        <v>237.6395263671875</v>
      </c>
      <c r="S52" s="117">
        <v>0.66189533472061157</v>
      </c>
      <c r="T52" s="117">
        <v>227.58399963378906</v>
      </c>
      <c r="U52" s="118" t="s">
        <v>23</v>
      </c>
      <c r="V52" s="117">
        <v>0</v>
      </c>
      <c r="W52" s="192"/>
      <c r="X52" s="192"/>
      <c r="Y52" s="193"/>
      <c r="Z52" s="96">
        <f t="shared" si="13"/>
        <v>-1.4102578162464852E-3</v>
      </c>
    </row>
    <row r="53" spans="1:26" ht="13.5" thickBot="1" x14ac:dyDescent="0.25">
      <c r="B53" s="161"/>
      <c r="C53" s="169"/>
      <c r="D53" s="80" t="s">
        <v>4</v>
      </c>
      <c r="E53" s="132">
        <v>449</v>
      </c>
      <c r="F53" s="114">
        <v>41.416000366210938</v>
      </c>
      <c r="G53" s="114">
        <f>SUM(E53)-SUM(F53)+V53</f>
        <v>407.58399963378906</v>
      </c>
      <c r="H53" s="114">
        <v>0</v>
      </c>
      <c r="I53" s="114">
        <v>0</v>
      </c>
      <c r="J53" s="114">
        <v>0</v>
      </c>
      <c r="K53" s="114">
        <v>0</v>
      </c>
      <c r="L53" s="124">
        <v>0</v>
      </c>
      <c r="M53" s="114">
        <v>0</v>
      </c>
      <c r="N53" s="114">
        <v>0</v>
      </c>
      <c r="O53" s="114">
        <v>0</v>
      </c>
      <c r="P53" s="114">
        <v>0</v>
      </c>
      <c r="Q53" s="114">
        <f>SUM(R53:T53)</f>
        <v>407.58399921655655</v>
      </c>
      <c r="R53" s="114">
        <v>179.33810424804688</v>
      </c>
      <c r="S53" s="120">
        <v>0.66189533472061157</v>
      </c>
      <c r="T53" s="114">
        <v>227.58399963378906</v>
      </c>
      <c r="U53" s="133" t="s">
        <v>23</v>
      </c>
      <c r="V53" s="120">
        <v>0</v>
      </c>
      <c r="W53" s="192"/>
      <c r="X53" s="192"/>
      <c r="Y53" s="193"/>
      <c r="Z53" s="96">
        <f t="shared" si="13"/>
        <v>4.1723251342773438E-7</v>
      </c>
    </row>
    <row r="54" spans="1:26" ht="13.5" thickBot="1" x14ac:dyDescent="0.25">
      <c r="B54" s="82" t="s">
        <v>153</v>
      </c>
      <c r="C54" s="83">
        <v>43859.625</v>
      </c>
      <c r="D54" s="77"/>
      <c r="E54" s="109">
        <f>SUM(E55:E58)</f>
        <v>7157.1979999542236</v>
      </c>
      <c r="F54" s="110">
        <f>SUM(F55:F58)</f>
        <v>3489.2099999542238</v>
      </c>
      <c r="G54" s="110">
        <f>SUM(G55:G58)</f>
        <v>3667.9879999999998</v>
      </c>
      <c r="H54" s="111">
        <f>SUM(H55:H58)</f>
        <v>0</v>
      </c>
      <c r="I54" s="111">
        <f>SUM(I55,I58)</f>
        <v>0</v>
      </c>
      <c r="J54" s="111">
        <f>SUM(J55)</f>
        <v>0</v>
      </c>
      <c r="K54" s="111">
        <f t="shared" ref="K54:R54" si="14">SUM(K55:K58)</f>
        <v>0</v>
      </c>
      <c r="L54" s="110">
        <f t="shared" si="14"/>
        <v>0</v>
      </c>
      <c r="M54" s="111">
        <f t="shared" si="14"/>
        <v>0</v>
      </c>
      <c r="N54" s="111">
        <f t="shared" si="14"/>
        <v>0</v>
      </c>
      <c r="O54" s="111">
        <f t="shared" si="14"/>
        <v>0</v>
      </c>
      <c r="P54" s="111">
        <f t="shared" si="14"/>
        <v>0</v>
      </c>
      <c r="Q54" s="111">
        <f t="shared" si="14"/>
        <v>3667.9879427909959</v>
      </c>
      <c r="R54" s="111">
        <f t="shared" si="14"/>
        <v>3525.4054718017578</v>
      </c>
      <c r="S54" s="111">
        <f>SUM(S55:S57)</f>
        <v>2.4062838554382324</v>
      </c>
      <c r="T54" s="111">
        <f>SUM(T55:T57)</f>
        <v>0</v>
      </c>
      <c r="U54" s="110">
        <f>SUM(U58)</f>
        <v>140.1761871338</v>
      </c>
      <c r="V54" s="111">
        <f>SUM(V55:V58)</f>
        <v>0</v>
      </c>
      <c r="W54" s="23">
        <v>2027.3092041015625</v>
      </c>
      <c r="X54" s="16">
        <v>2053.05029296875</v>
      </c>
      <c r="Y54" s="17">
        <v>47966.456970214844</v>
      </c>
      <c r="Z54" s="96">
        <f t="shared" si="13"/>
        <v>5.720900389860617E-5</v>
      </c>
    </row>
    <row r="55" spans="1:26" x14ac:dyDescent="0.2">
      <c r="B55" s="159"/>
      <c r="C55" s="168"/>
      <c r="D55" s="78" t="s">
        <v>75</v>
      </c>
      <c r="E55" s="112">
        <v>406</v>
      </c>
      <c r="F55" s="113">
        <v>0</v>
      </c>
      <c r="G55" s="113">
        <f t="shared" ref="G55:G60" si="15">SUM(E55)-SUM(F55)+V55</f>
        <v>406</v>
      </c>
      <c r="H55" s="113">
        <v>0</v>
      </c>
      <c r="I55" s="113">
        <v>0</v>
      </c>
      <c r="J55" s="113">
        <v>0</v>
      </c>
      <c r="K55" s="113">
        <v>0</v>
      </c>
      <c r="L55" s="113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f>SUM(R55:T55)</f>
        <v>406.00000333786011</v>
      </c>
      <c r="R55" s="113">
        <v>403.59371948242188</v>
      </c>
      <c r="S55" s="113">
        <v>2.4062838554382324</v>
      </c>
      <c r="T55" s="113">
        <v>0</v>
      </c>
      <c r="U55" s="115" t="s">
        <v>23</v>
      </c>
      <c r="V55" s="113">
        <v>0</v>
      </c>
      <c r="W55" s="192"/>
      <c r="X55" s="192"/>
      <c r="Y55" s="193"/>
      <c r="Z55" s="96">
        <f t="shared" si="13"/>
        <v>-3.337860107421875E-6</v>
      </c>
    </row>
    <row r="56" spans="1:26" s="84" customFormat="1" x14ac:dyDescent="0.2">
      <c r="A56" s="51"/>
      <c r="B56" s="160"/>
      <c r="C56" s="168"/>
      <c r="D56" s="78" t="s">
        <v>129</v>
      </c>
      <c r="E56" s="132">
        <v>5.1979999542236328</v>
      </c>
      <c r="F56" s="114">
        <v>5.1979999542236328</v>
      </c>
      <c r="G56" s="113">
        <f t="shared" si="15"/>
        <v>0</v>
      </c>
      <c r="H56" s="114"/>
      <c r="I56" s="114"/>
      <c r="J56" s="114"/>
      <c r="K56" s="114"/>
      <c r="L56" s="114"/>
      <c r="M56" s="114"/>
      <c r="N56" s="114"/>
      <c r="O56" s="114"/>
      <c r="P56" s="114"/>
      <c r="Q56" s="120">
        <f>SUM(R56)</f>
        <v>0</v>
      </c>
      <c r="R56" s="114">
        <v>0</v>
      </c>
      <c r="S56" s="114"/>
      <c r="T56" s="114"/>
      <c r="U56" s="133" t="s">
        <v>23</v>
      </c>
      <c r="V56" s="113">
        <v>0</v>
      </c>
      <c r="W56" s="192"/>
      <c r="X56" s="192"/>
      <c r="Y56" s="193"/>
      <c r="Z56" s="96">
        <f t="shared" si="13"/>
        <v>0</v>
      </c>
    </row>
    <row r="57" spans="1:26" s="55" customFormat="1" x14ac:dyDescent="0.2">
      <c r="A57" s="98"/>
      <c r="B57" s="160"/>
      <c r="C57" s="169"/>
      <c r="D57" s="40" t="s">
        <v>42</v>
      </c>
      <c r="E57" s="134">
        <v>25</v>
      </c>
      <c r="F57" s="135">
        <v>19.25</v>
      </c>
      <c r="G57" s="135">
        <f t="shared" si="15"/>
        <v>5.75</v>
      </c>
      <c r="H57" s="135"/>
      <c r="I57" s="135"/>
      <c r="J57" s="135"/>
      <c r="K57" s="135"/>
      <c r="L57" s="135"/>
      <c r="M57" s="135"/>
      <c r="N57" s="135"/>
      <c r="O57" s="135"/>
      <c r="P57" s="135"/>
      <c r="Q57" s="135">
        <f>SUM(R57:T57)</f>
        <v>5.75</v>
      </c>
      <c r="R57" s="135">
        <v>5.75</v>
      </c>
      <c r="S57" s="135"/>
      <c r="T57" s="135"/>
      <c r="U57" s="130" t="s">
        <v>23</v>
      </c>
      <c r="V57" s="131">
        <v>0</v>
      </c>
      <c r="W57" s="192"/>
      <c r="X57" s="192"/>
      <c r="Y57" s="193"/>
      <c r="Z57" s="102">
        <f t="shared" si="13"/>
        <v>0</v>
      </c>
    </row>
    <row r="58" spans="1:26" x14ac:dyDescent="0.2">
      <c r="B58" s="160"/>
      <c r="C58" s="169"/>
      <c r="D58" s="38" t="s">
        <v>17</v>
      </c>
      <c r="E58" s="117">
        <f>SUM(E59:E60)</f>
        <v>6721</v>
      </c>
      <c r="F58" s="117">
        <f>SUM(F59:F60)</f>
        <v>3464.7620000000002</v>
      </c>
      <c r="G58" s="117">
        <f t="shared" si="15"/>
        <v>3256.2379999999998</v>
      </c>
      <c r="H58" s="117">
        <f>SUM(H59:H60)</f>
        <v>0</v>
      </c>
      <c r="I58" s="117">
        <f>SUM(I59:I60)</f>
        <v>0</v>
      </c>
      <c r="J58" s="117"/>
      <c r="K58" s="117">
        <f t="shared" ref="K58:P58" si="16">SUM(K59:K60)</f>
        <v>0</v>
      </c>
      <c r="L58" s="117">
        <f t="shared" si="16"/>
        <v>0</v>
      </c>
      <c r="M58" s="117">
        <f t="shared" si="16"/>
        <v>0</v>
      </c>
      <c r="N58" s="117">
        <f t="shared" si="16"/>
        <v>0</v>
      </c>
      <c r="O58" s="117">
        <f t="shared" si="16"/>
        <v>0</v>
      </c>
      <c r="P58" s="117">
        <f t="shared" si="16"/>
        <v>0</v>
      </c>
      <c r="Q58" s="117">
        <f>SUM(R58:U58)</f>
        <v>3256.2379394531358</v>
      </c>
      <c r="R58" s="117">
        <f>SUM(R59:R60)</f>
        <v>3116.0617523193359</v>
      </c>
      <c r="S58" s="117" t="s">
        <v>23</v>
      </c>
      <c r="T58" s="117" t="s">
        <v>23</v>
      </c>
      <c r="U58" s="118">
        <f>SUM(U59:U60)</f>
        <v>140.1761871338</v>
      </c>
      <c r="V58" s="117">
        <f>SUM(V59:V60)</f>
        <v>0</v>
      </c>
      <c r="W58" s="192"/>
      <c r="X58" s="192"/>
      <c r="Y58" s="193"/>
      <c r="Z58" s="96">
        <f t="shared" si="13"/>
        <v>6.0546864006028045E-5</v>
      </c>
    </row>
    <row r="59" spans="1:26" x14ac:dyDescent="0.2">
      <c r="B59" s="160"/>
      <c r="C59" s="169"/>
      <c r="D59" s="39" t="s">
        <v>76</v>
      </c>
      <c r="E59" s="112">
        <v>6400</v>
      </c>
      <c r="F59" s="119">
        <f>1150+2218.762</f>
        <v>3368.7620000000002</v>
      </c>
      <c r="G59" s="113">
        <f t="shared" si="15"/>
        <v>3031.2379999999998</v>
      </c>
      <c r="H59" s="113">
        <f>I59+K59+L59</f>
        <v>0</v>
      </c>
      <c r="I59" s="113">
        <v>0</v>
      </c>
      <c r="J59" s="113"/>
      <c r="K59" s="113">
        <v>0</v>
      </c>
      <c r="L59" s="113">
        <v>0</v>
      </c>
      <c r="M59" s="113">
        <v>0</v>
      </c>
      <c r="N59" s="113">
        <v>0</v>
      </c>
      <c r="O59" s="113">
        <v>0</v>
      </c>
      <c r="P59" s="113">
        <v>0</v>
      </c>
      <c r="Q59" s="113">
        <f>SUM(R59:U59)</f>
        <v>3031.2379394531249</v>
      </c>
      <c r="R59" s="113">
        <v>2952.387939453125</v>
      </c>
      <c r="S59" s="113" t="s">
        <v>23</v>
      </c>
      <c r="T59" s="113" t="s">
        <v>23</v>
      </c>
      <c r="U59" s="115">
        <v>78.849999999999994</v>
      </c>
      <c r="V59" s="117">
        <v>0</v>
      </c>
      <c r="W59" s="192"/>
      <c r="X59" s="192"/>
      <c r="Y59" s="193"/>
      <c r="Z59" s="96">
        <f t="shared" si="13"/>
        <v>6.0546874919964466E-5</v>
      </c>
    </row>
    <row r="60" spans="1:26" ht="13.5" thickBot="1" x14ac:dyDescent="0.25">
      <c r="B60" s="161"/>
      <c r="C60" s="169"/>
      <c r="D60" s="80" t="s">
        <v>77</v>
      </c>
      <c r="E60" s="119">
        <v>321</v>
      </c>
      <c r="F60" s="119">
        <f>96+0</f>
        <v>96</v>
      </c>
      <c r="G60" s="120">
        <f t="shared" si="15"/>
        <v>225</v>
      </c>
      <c r="H60" s="120">
        <f>I60+K60+L60</f>
        <v>0</v>
      </c>
      <c r="I60" s="120">
        <v>0</v>
      </c>
      <c r="J60" s="120"/>
      <c r="K60" s="120">
        <v>0</v>
      </c>
      <c r="L60" s="120">
        <v>0</v>
      </c>
      <c r="M60" s="120">
        <v>0</v>
      </c>
      <c r="N60" s="120">
        <v>0</v>
      </c>
      <c r="O60" s="120">
        <v>0</v>
      </c>
      <c r="P60" s="120">
        <v>0</v>
      </c>
      <c r="Q60" s="120">
        <f>SUM(R60:U60)</f>
        <v>225.00000000001094</v>
      </c>
      <c r="R60" s="120">
        <v>163.67381286621094</v>
      </c>
      <c r="S60" s="128" t="s">
        <v>23</v>
      </c>
      <c r="T60" s="120" t="s">
        <v>23</v>
      </c>
      <c r="U60" s="122">
        <v>61.326187133799998</v>
      </c>
      <c r="V60" s="120">
        <v>0</v>
      </c>
      <c r="W60" s="192"/>
      <c r="X60" s="192"/>
      <c r="Y60" s="193"/>
      <c r="Z60" s="96">
        <f t="shared" si="13"/>
        <v>-1.0942358130705543E-11</v>
      </c>
    </row>
    <row r="61" spans="1:26" ht="13.5" customHeight="1" thickBot="1" x14ac:dyDescent="0.25">
      <c r="B61" s="173" t="s">
        <v>154</v>
      </c>
      <c r="C61" s="76">
        <v>43859.583333333336</v>
      </c>
      <c r="D61" s="77"/>
      <c r="E61" s="109">
        <f>SUM(E65:E73,E80)</f>
        <v>15864.939959526062</v>
      </c>
      <c r="F61" s="110">
        <f>SUM(F65:F73,F80)</f>
        <v>4937.4916521263121</v>
      </c>
      <c r="G61" s="110">
        <f>SUM(G65:G73,G80)</f>
        <v>10943.223988593669</v>
      </c>
      <c r="H61" s="111">
        <f>SUM(H65:H73,H80)</f>
        <v>1211.5789947509766</v>
      </c>
      <c r="I61" s="111">
        <f>SUM(I65:I73,I80)</f>
        <v>0</v>
      </c>
      <c r="J61" s="111">
        <f>SUM(J65:J73)</f>
        <v>0</v>
      </c>
      <c r="K61" s="111">
        <f t="shared" ref="K61:R61" si="17">SUM(K65:K73,K80)</f>
        <v>247.57899475097656</v>
      </c>
      <c r="L61" s="110">
        <f t="shared" si="17"/>
        <v>964</v>
      </c>
      <c r="M61" s="111">
        <f t="shared" si="17"/>
        <v>0</v>
      </c>
      <c r="N61" s="111">
        <f t="shared" si="17"/>
        <v>73.111000061035156</v>
      </c>
      <c r="O61" s="111">
        <f>SUM(O65:O73,O81:O83)</f>
        <v>0</v>
      </c>
      <c r="P61" s="111">
        <f t="shared" si="17"/>
        <v>95.838356018066406</v>
      </c>
      <c r="Q61" s="111">
        <f t="shared" si="17"/>
        <v>9562.7004097223289</v>
      </c>
      <c r="R61" s="111">
        <f t="shared" si="17"/>
        <v>7446.0923000574112</v>
      </c>
      <c r="S61" s="111">
        <f>SUM(S65:S73)</f>
        <v>167.82913017272949</v>
      </c>
      <c r="T61" s="111">
        <f>SUM(T65:T73)</f>
        <v>1573.0789794921875</v>
      </c>
      <c r="U61" s="110">
        <f>SUM(U80)</f>
        <v>375.7</v>
      </c>
      <c r="V61" s="111">
        <f>SUM(V65:V73,V80)</f>
        <v>15.77568119391799</v>
      </c>
      <c r="W61" s="23">
        <v>5972.0830078125</v>
      </c>
      <c r="X61" s="16">
        <v>6078.5107421875</v>
      </c>
      <c r="Y61" s="17">
        <v>140356.36572265625</v>
      </c>
      <c r="Z61" s="96">
        <f t="shared" si="13"/>
        <v>-4.7719587382744066E-3</v>
      </c>
    </row>
    <row r="62" spans="1:26" ht="13.5" customHeight="1" thickBot="1" x14ac:dyDescent="0.25">
      <c r="B62" s="174"/>
      <c r="C62" s="195"/>
      <c r="D62" s="90" t="s">
        <v>116</v>
      </c>
      <c r="E62" s="109">
        <f>E65+E67+E68+E69+E70+E71+E74+E75+E77+E78+E79+E83+E81</f>
        <v>11573.939949989319</v>
      </c>
      <c r="F62" s="110">
        <f>F65+F67+F68+F69+F70+F71+F74+F75+F77+F78+F79+F83+F81</f>
        <v>3927.7610011749266</v>
      </c>
      <c r="G62" s="110">
        <f t="shared" ref="G62:G83" si="18">SUM(E62)-SUM(F62)+V62</f>
        <v>7659.9646299987735</v>
      </c>
      <c r="H62" s="111">
        <f>H65+H67+H68+H69+H70+H71+H74+H75+H77+H78+H79+H83+H81</f>
        <v>1047.5789947509766</v>
      </c>
      <c r="I62" s="111">
        <f>I65+I67+I68+I69+I70+I71+I74+I79+I81</f>
        <v>0</v>
      </c>
      <c r="J62" s="111">
        <f>J65+J67+J68+J69+J70+J71+J74+J79</f>
        <v>0</v>
      </c>
      <c r="K62" s="111">
        <f>K65+K67+K68+K69+K70+K71+K74+K79+K81</f>
        <v>247.57899475097656</v>
      </c>
      <c r="L62" s="110">
        <f>L65+L67+L68+L69+L70+L71+L74+L79+L81</f>
        <v>800</v>
      </c>
      <c r="M62" s="111">
        <f>M65+M67+M68+M69+M70+M71+M74+M79+M81</f>
        <v>0</v>
      </c>
      <c r="N62" s="111">
        <f>N65+N67+N68+N69+N70+N71+N74+N79+N81</f>
        <v>73.111000061035156</v>
      </c>
      <c r="O62" s="111">
        <f>O65+O67+O68+O69+O70+O71+O74+O75+O77+O78+O79+O83+O81</f>
        <v>0</v>
      </c>
      <c r="P62" s="111">
        <f>P65+P67+P68+P69+P70+P71+P74+P75+P77+P78+P79+P83+P81</f>
        <v>95.838356018066406</v>
      </c>
      <c r="Q62" s="111">
        <f>Q65+Q67+Q68+Q69+Q70+Q71+Q74+Q75+Q77+Q78+Q79+Q83+Q81</f>
        <v>6443.4327631196975</v>
      </c>
      <c r="R62" s="111">
        <f>R65+R67+R68+R69+R70+R71+R74+R75+R77+R78+R79+R83+R81</f>
        <v>4676.9027074251171</v>
      </c>
      <c r="S62" s="111">
        <f>S65+S67+S68+S69+S70+S71+S79</f>
        <v>162.77107620239258</v>
      </c>
      <c r="T62" s="111">
        <f>T65+T67+T68+T69+T70+T71+T79</f>
        <v>1237.0789794921875</v>
      </c>
      <c r="U62" s="110">
        <f>U81</f>
        <v>366.68</v>
      </c>
      <c r="V62" s="111">
        <f>V65+V67+V68+V69+V70+V71+V74+V75+V77+V78+V79+V83+V81</f>
        <v>13.785681184381247</v>
      </c>
      <c r="W62" s="23">
        <f>W61-W63</f>
        <v>4985.4811401367188</v>
      </c>
      <c r="X62" s="16"/>
      <c r="Y62" s="91" t="s">
        <v>23</v>
      </c>
      <c r="Z62" s="96">
        <f t="shared" si="13"/>
        <v>3.5160489978807163E-3</v>
      </c>
    </row>
    <row r="63" spans="1:26" ht="13.5" customHeight="1" thickBot="1" x14ac:dyDescent="0.25">
      <c r="B63" s="104"/>
      <c r="C63" s="169"/>
      <c r="D63" s="87" t="s">
        <v>117</v>
      </c>
      <c r="E63" s="109">
        <f>E66+E72+E82+E76</f>
        <v>4291</v>
      </c>
      <c r="F63" s="109">
        <f>F66+F72+F82+F76</f>
        <v>1009.7311452255249</v>
      </c>
      <c r="G63" s="110">
        <f t="shared" si="18"/>
        <v>3283.2588547840119</v>
      </c>
      <c r="H63" s="111">
        <f>H66+H72+H82+H76</f>
        <v>164</v>
      </c>
      <c r="I63" s="111">
        <f>I66+I72+I82</f>
        <v>0</v>
      </c>
      <c r="J63" s="111">
        <f>J66+J72</f>
        <v>0</v>
      </c>
      <c r="K63" s="111">
        <f>K66+K72+K82</f>
        <v>0</v>
      </c>
      <c r="L63" s="110">
        <f>L66+L72+L82</f>
        <v>164</v>
      </c>
      <c r="M63" s="111">
        <f>M66+M72+M82</f>
        <v>0</v>
      </c>
      <c r="N63" s="111">
        <f>N66+N72+N82</f>
        <v>0</v>
      </c>
      <c r="O63" s="111">
        <f>O66+O72+O82+O76</f>
        <v>0</v>
      </c>
      <c r="P63" s="111">
        <f>P66+P72+P82+P76</f>
        <v>0</v>
      </c>
      <c r="Q63" s="111">
        <f>Q66+Q72+Q82+Q76</f>
        <v>3119.267150182724</v>
      </c>
      <c r="R63" s="111">
        <f>R66+R72+R82+R76</f>
        <v>2769.1890962123871</v>
      </c>
      <c r="S63" s="111">
        <f>S66+S72</f>
        <v>5.0580539703369141</v>
      </c>
      <c r="T63" s="111">
        <f>T66+T72</f>
        <v>336</v>
      </c>
      <c r="U63" s="110">
        <f>U82</f>
        <v>9.02</v>
      </c>
      <c r="V63" s="111">
        <f>V66+V72+V82+V76</f>
        <v>1.9900000095367432</v>
      </c>
      <c r="W63" s="23">
        <v>986.60186767578125</v>
      </c>
      <c r="X63" s="16"/>
      <c r="Y63" s="18" t="s">
        <v>23</v>
      </c>
      <c r="Z63" s="96">
        <f t="shared" si="13"/>
        <v>-8.2953987121072714E-3</v>
      </c>
    </row>
    <row r="64" spans="1:26" ht="13.5" customHeight="1" x14ac:dyDescent="0.2">
      <c r="B64" s="104"/>
      <c r="C64" s="169"/>
      <c r="D64" s="40" t="s">
        <v>31</v>
      </c>
      <c r="E64" s="127">
        <f>SUM(E65:E72)</f>
        <v>6251.8599548339844</v>
      </c>
      <c r="F64" s="131">
        <f>SUM(F65:F72)</f>
        <v>62.461145401000977</v>
      </c>
      <c r="G64" s="136">
        <f t="shared" si="18"/>
        <v>6193.8008093833923</v>
      </c>
      <c r="H64" s="131">
        <f t="shared" ref="H64:T64" si="19">SUM(H65:H72)</f>
        <v>1211.5789947509766</v>
      </c>
      <c r="I64" s="131">
        <f t="shared" si="19"/>
        <v>0</v>
      </c>
      <c r="J64" s="131">
        <f t="shared" si="19"/>
        <v>0</v>
      </c>
      <c r="K64" s="131">
        <f t="shared" si="19"/>
        <v>247.57899475097656</v>
      </c>
      <c r="L64" s="131">
        <f t="shared" si="19"/>
        <v>964</v>
      </c>
      <c r="M64" s="131">
        <f t="shared" si="19"/>
        <v>0</v>
      </c>
      <c r="N64" s="131">
        <f t="shared" si="19"/>
        <v>73.111000061035156</v>
      </c>
      <c r="O64" s="131">
        <f t="shared" si="19"/>
        <v>0</v>
      </c>
      <c r="P64" s="131">
        <f t="shared" si="19"/>
        <v>25.838356018066406</v>
      </c>
      <c r="Q64" s="131">
        <f t="shared" si="19"/>
        <v>4883.2766895294189</v>
      </c>
      <c r="R64" s="131">
        <f t="shared" si="19"/>
        <v>3142.368579864502</v>
      </c>
      <c r="S64" s="131">
        <f t="shared" si="19"/>
        <v>167.82913017272949</v>
      </c>
      <c r="T64" s="131">
        <f t="shared" si="19"/>
        <v>1573.0789794921875</v>
      </c>
      <c r="U64" s="127"/>
      <c r="V64" s="131">
        <v>4.4019999504089355</v>
      </c>
      <c r="W64" s="194"/>
      <c r="X64" s="192"/>
      <c r="Y64" s="193"/>
      <c r="Z64" s="96">
        <f t="shared" si="13"/>
        <v>-4.2309761047363281E-3</v>
      </c>
    </row>
    <row r="65" spans="1:26" x14ac:dyDescent="0.2">
      <c r="B65" s="104"/>
      <c r="C65" s="169"/>
      <c r="D65" s="39" t="s">
        <v>78</v>
      </c>
      <c r="E65" s="112">
        <v>2400</v>
      </c>
      <c r="F65" s="113">
        <v>0</v>
      </c>
      <c r="G65" s="113">
        <f t="shared" si="18"/>
        <v>2400</v>
      </c>
      <c r="H65" s="113">
        <v>800</v>
      </c>
      <c r="I65" s="113">
        <v>0</v>
      </c>
      <c r="J65" s="113">
        <v>0</v>
      </c>
      <c r="K65" s="113">
        <v>0</v>
      </c>
      <c r="L65" s="113">
        <v>800</v>
      </c>
      <c r="M65" s="113">
        <v>0</v>
      </c>
      <c r="N65" s="113">
        <v>0</v>
      </c>
      <c r="O65" s="113">
        <v>0</v>
      </c>
      <c r="P65" s="113">
        <v>0</v>
      </c>
      <c r="Q65" s="113">
        <f t="shared" ref="Q65:Q73" si="20">SUM(R65:T65)</f>
        <v>1599.9999732971191</v>
      </c>
      <c r="R65" s="113">
        <v>759.75640869140625</v>
      </c>
      <c r="S65" s="113">
        <v>40.243564605712891</v>
      </c>
      <c r="T65" s="113">
        <v>800</v>
      </c>
      <c r="U65" s="115" t="s">
        <v>23</v>
      </c>
      <c r="V65" s="117">
        <v>0</v>
      </c>
      <c r="W65" s="192"/>
      <c r="X65" s="192"/>
      <c r="Y65" s="193"/>
      <c r="Z65" s="96">
        <f t="shared" si="13"/>
        <v>2.6702880859375E-5</v>
      </c>
    </row>
    <row r="66" spans="1:26" x14ac:dyDescent="0.2">
      <c r="B66" s="104"/>
      <c r="C66" s="169"/>
      <c r="D66" s="40" t="s">
        <v>79</v>
      </c>
      <c r="E66" s="116">
        <v>1260</v>
      </c>
      <c r="F66" s="117">
        <v>0</v>
      </c>
      <c r="G66" s="117">
        <f t="shared" si="18"/>
        <v>1261.9900000095367</v>
      </c>
      <c r="H66" s="117">
        <v>164</v>
      </c>
      <c r="I66" s="117">
        <v>0</v>
      </c>
      <c r="J66" s="117">
        <v>0</v>
      </c>
      <c r="K66" s="117">
        <v>0</v>
      </c>
      <c r="L66" s="127">
        <v>164</v>
      </c>
      <c r="M66" s="117">
        <v>0</v>
      </c>
      <c r="N66" s="117">
        <v>0</v>
      </c>
      <c r="O66" s="117">
        <v>0</v>
      </c>
      <c r="P66" s="117">
        <v>0</v>
      </c>
      <c r="Q66" s="117">
        <f t="shared" si="20"/>
        <v>1097.9980564117432</v>
      </c>
      <c r="R66" s="117">
        <v>756.94000244140625</v>
      </c>
      <c r="S66" s="117">
        <v>5.0580539703369141</v>
      </c>
      <c r="T66" s="117">
        <v>336</v>
      </c>
      <c r="U66" s="118" t="s">
        <v>23</v>
      </c>
      <c r="V66" s="117">
        <v>1.9900000095367432</v>
      </c>
      <c r="W66" s="192"/>
      <c r="X66" s="192"/>
      <c r="Y66" s="193"/>
      <c r="Z66" s="96">
        <f t="shared" si="13"/>
        <v>-8.0564022064208984E-3</v>
      </c>
    </row>
    <row r="67" spans="1:26" x14ac:dyDescent="0.2">
      <c r="B67" s="104"/>
      <c r="C67" s="169"/>
      <c r="D67" s="40" t="s">
        <v>80</v>
      </c>
      <c r="E67" s="116">
        <v>1323.9599609375</v>
      </c>
      <c r="F67" s="117">
        <v>3.2309999465942383</v>
      </c>
      <c r="G67" s="117">
        <f t="shared" si="18"/>
        <v>1320.7289609909058</v>
      </c>
      <c r="H67" s="117">
        <v>247.57899475097656</v>
      </c>
      <c r="I67" s="117">
        <v>0</v>
      </c>
      <c r="J67" s="117">
        <v>0</v>
      </c>
      <c r="K67" s="117">
        <v>247.57899475097656</v>
      </c>
      <c r="L67" s="131">
        <v>0</v>
      </c>
      <c r="M67" s="117">
        <v>0</v>
      </c>
      <c r="N67" s="117">
        <v>73.111000061035156</v>
      </c>
      <c r="O67" s="117">
        <v>0</v>
      </c>
      <c r="P67" s="117">
        <v>18.901178359985352</v>
      </c>
      <c r="Q67" s="117">
        <f t="shared" si="20"/>
        <v>981.1378173828125</v>
      </c>
      <c r="R67" s="117">
        <v>622.1241455078125</v>
      </c>
      <c r="S67" s="117">
        <v>38.9346923828125</v>
      </c>
      <c r="T67" s="117">
        <v>320.0789794921875</v>
      </c>
      <c r="U67" s="118" t="s">
        <v>23</v>
      </c>
      <c r="V67" s="117">
        <v>0</v>
      </c>
      <c r="W67" s="192"/>
      <c r="X67" s="192"/>
      <c r="Y67" s="193"/>
      <c r="Z67" s="96">
        <f t="shared" si="13"/>
        <v>-2.956390380859375E-5</v>
      </c>
    </row>
    <row r="68" spans="1:26" x14ac:dyDescent="0.2">
      <c r="B68" s="104"/>
      <c r="C68" s="169"/>
      <c r="D68" s="40" t="s">
        <v>81</v>
      </c>
      <c r="E68" s="116">
        <v>485.89999389648438</v>
      </c>
      <c r="F68" s="117">
        <v>57</v>
      </c>
      <c r="G68" s="117">
        <f t="shared" si="18"/>
        <v>431.27999401092529</v>
      </c>
      <c r="H68" s="117">
        <v>0</v>
      </c>
      <c r="I68" s="117">
        <v>0</v>
      </c>
      <c r="J68" s="117">
        <v>0</v>
      </c>
      <c r="K68" s="117">
        <v>0</v>
      </c>
      <c r="L68" s="131">
        <v>0</v>
      </c>
      <c r="M68" s="117">
        <v>0</v>
      </c>
      <c r="N68" s="117">
        <v>0</v>
      </c>
      <c r="O68" s="117">
        <v>0</v>
      </c>
      <c r="P68" s="117">
        <v>0</v>
      </c>
      <c r="Q68" s="117">
        <f t="shared" si="20"/>
        <v>431.27641868591309</v>
      </c>
      <c r="R68" s="117">
        <v>294.98199462890625</v>
      </c>
      <c r="S68" s="117">
        <v>19.294424057006836</v>
      </c>
      <c r="T68" s="117">
        <v>117</v>
      </c>
      <c r="U68" s="118" t="s">
        <v>23</v>
      </c>
      <c r="V68" s="117">
        <v>2.380000114440918</v>
      </c>
      <c r="W68" s="192"/>
      <c r="X68" s="192"/>
      <c r="Y68" s="193"/>
      <c r="Z68" s="96">
        <f t="shared" si="13"/>
        <v>3.5753250122070313E-3</v>
      </c>
    </row>
    <row r="69" spans="1:26" x14ac:dyDescent="0.2">
      <c r="B69" s="104"/>
      <c r="C69" s="169"/>
      <c r="D69" s="40" t="s">
        <v>82</v>
      </c>
      <c r="E69" s="116">
        <v>465</v>
      </c>
      <c r="F69" s="117">
        <v>0</v>
      </c>
      <c r="G69" s="117">
        <f t="shared" si="18"/>
        <v>465</v>
      </c>
      <c r="H69" s="117">
        <v>0</v>
      </c>
      <c r="I69" s="117">
        <v>0</v>
      </c>
      <c r="J69" s="117">
        <v>0</v>
      </c>
      <c r="K69" s="117">
        <v>0</v>
      </c>
      <c r="L69" s="131">
        <v>0</v>
      </c>
      <c r="M69" s="117">
        <v>0</v>
      </c>
      <c r="N69" s="117">
        <v>0</v>
      </c>
      <c r="O69" s="117">
        <v>0</v>
      </c>
      <c r="P69" s="117">
        <v>5.9371776580810547</v>
      </c>
      <c r="Q69" s="117">
        <f t="shared" si="20"/>
        <v>459.06257820129395</v>
      </c>
      <c r="R69" s="117">
        <v>431.90301513671875</v>
      </c>
      <c r="S69" s="117">
        <v>27.159563064575195</v>
      </c>
      <c r="T69" s="117">
        <v>0</v>
      </c>
      <c r="U69" s="118" t="s">
        <v>23</v>
      </c>
      <c r="V69" s="117">
        <v>0</v>
      </c>
      <c r="W69" s="192"/>
      <c r="X69" s="192"/>
      <c r="Y69" s="193"/>
      <c r="Z69" s="96">
        <f t="shared" si="13"/>
        <v>2.44140625E-4</v>
      </c>
    </row>
    <row r="70" spans="1:26" x14ac:dyDescent="0.2">
      <c r="B70" s="104"/>
      <c r="C70" s="169"/>
      <c r="D70" s="40" t="s">
        <v>83</v>
      </c>
      <c r="E70" s="116">
        <v>208</v>
      </c>
      <c r="F70" s="117">
        <v>0</v>
      </c>
      <c r="G70" s="117">
        <f t="shared" si="18"/>
        <v>208</v>
      </c>
      <c r="H70" s="117">
        <v>0</v>
      </c>
      <c r="I70" s="117">
        <v>0</v>
      </c>
      <c r="J70" s="117">
        <v>0</v>
      </c>
      <c r="K70" s="117">
        <v>0</v>
      </c>
      <c r="L70" s="131">
        <v>0</v>
      </c>
      <c r="M70" s="117">
        <v>0</v>
      </c>
      <c r="N70" s="117">
        <v>0</v>
      </c>
      <c r="O70" s="117">
        <v>0</v>
      </c>
      <c r="P70" s="117">
        <v>1</v>
      </c>
      <c r="Q70" s="117">
        <f t="shared" si="20"/>
        <v>206.99999237060547</v>
      </c>
      <c r="R70" s="117">
        <v>169.86116027832031</v>
      </c>
      <c r="S70" s="117">
        <v>37.138832092285156</v>
      </c>
      <c r="T70" s="117">
        <v>0</v>
      </c>
      <c r="U70" s="118" t="s">
        <v>23</v>
      </c>
      <c r="V70" s="117">
        <v>0</v>
      </c>
      <c r="W70" s="192"/>
      <c r="X70" s="192"/>
      <c r="Y70" s="193"/>
      <c r="Z70" s="96">
        <f t="shared" si="13"/>
        <v>7.62939453125E-6</v>
      </c>
    </row>
    <row r="71" spans="1:26" x14ac:dyDescent="0.2">
      <c r="B71" s="104"/>
      <c r="C71" s="169"/>
      <c r="D71" s="40" t="s">
        <v>84</v>
      </c>
      <c r="E71" s="116">
        <v>85</v>
      </c>
      <c r="F71" s="117">
        <v>0</v>
      </c>
      <c r="G71" s="117">
        <f t="shared" si="18"/>
        <v>85.032000001519918</v>
      </c>
      <c r="H71" s="117">
        <v>0</v>
      </c>
      <c r="I71" s="117">
        <v>0</v>
      </c>
      <c r="J71" s="117">
        <v>0</v>
      </c>
      <c r="K71" s="117">
        <v>0</v>
      </c>
      <c r="L71" s="131">
        <v>0</v>
      </c>
      <c r="M71" s="117">
        <v>0</v>
      </c>
      <c r="N71" s="117">
        <v>0</v>
      </c>
      <c r="O71" s="117">
        <v>0</v>
      </c>
      <c r="P71" s="117">
        <v>0</v>
      </c>
      <c r="Q71" s="117">
        <f t="shared" si="20"/>
        <v>85.031997680664063</v>
      </c>
      <c r="R71" s="117">
        <v>85.031997680664063</v>
      </c>
      <c r="S71" s="117">
        <v>0</v>
      </c>
      <c r="T71" s="117">
        <v>0</v>
      </c>
      <c r="U71" s="118" t="s">
        <v>23</v>
      </c>
      <c r="V71" s="117">
        <v>3.2000001519918442E-2</v>
      </c>
      <c r="W71" s="192"/>
      <c r="X71" s="192"/>
      <c r="Y71" s="193"/>
      <c r="Z71" s="96">
        <f t="shared" si="13"/>
        <v>2.3208558559417725E-6</v>
      </c>
    </row>
    <row r="72" spans="1:26" x14ac:dyDescent="0.2">
      <c r="B72" s="104"/>
      <c r="C72" s="169"/>
      <c r="D72" s="40" t="s">
        <v>1</v>
      </c>
      <c r="E72" s="116">
        <v>24</v>
      </c>
      <c r="F72" s="117">
        <v>2.2301454544067383</v>
      </c>
      <c r="G72" s="117">
        <f t="shared" si="18"/>
        <v>21.769854545593262</v>
      </c>
      <c r="H72" s="117">
        <v>0</v>
      </c>
      <c r="I72" s="117">
        <v>0</v>
      </c>
      <c r="J72" s="117">
        <v>0</v>
      </c>
      <c r="K72" s="117">
        <v>0</v>
      </c>
      <c r="L72" s="131">
        <v>0</v>
      </c>
      <c r="M72" s="117">
        <v>0</v>
      </c>
      <c r="N72" s="117">
        <v>0</v>
      </c>
      <c r="O72" s="117">
        <v>0</v>
      </c>
      <c r="P72" s="117">
        <v>0</v>
      </c>
      <c r="Q72" s="117">
        <f t="shared" si="20"/>
        <v>21.769855499267578</v>
      </c>
      <c r="R72" s="117">
        <v>21.769855499267578</v>
      </c>
      <c r="S72" s="117">
        <v>0</v>
      </c>
      <c r="T72" s="117">
        <v>0</v>
      </c>
      <c r="U72" s="118" t="s">
        <v>23</v>
      </c>
      <c r="V72" s="117">
        <v>0</v>
      </c>
      <c r="W72" s="192"/>
      <c r="X72" s="192"/>
      <c r="Y72" s="193"/>
      <c r="Z72" s="96">
        <f t="shared" si="13"/>
        <v>-9.5367431640625E-7</v>
      </c>
    </row>
    <row r="73" spans="1:26" s="55" customFormat="1" x14ac:dyDescent="0.2">
      <c r="A73" s="98"/>
      <c r="B73" s="104"/>
      <c r="C73" s="169"/>
      <c r="D73" s="80" t="s">
        <v>113</v>
      </c>
      <c r="E73" s="134">
        <v>610.8800048828125</v>
      </c>
      <c r="F73" s="135">
        <v>96.258506774902344</v>
      </c>
      <c r="G73" s="135">
        <f t="shared" si="18"/>
        <v>525.99517917633057</v>
      </c>
      <c r="H73" s="135">
        <v>0</v>
      </c>
      <c r="I73" s="131">
        <v>0</v>
      </c>
      <c r="J73" s="131">
        <v>0</v>
      </c>
      <c r="K73" s="131">
        <v>0</v>
      </c>
      <c r="L73" s="135">
        <v>0</v>
      </c>
      <c r="M73" s="135">
        <v>0</v>
      </c>
      <c r="N73" s="135">
        <v>0</v>
      </c>
      <c r="O73" s="135">
        <v>0</v>
      </c>
      <c r="P73" s="134">
        <v>70</v>
      </c>
      <c r="Q73" s="131">
        <f t="shared" si="20"/>
        <v>455.99517822265625</v>
      </c>
      <c r="R73" s="134">
        <v>455.99517822265625</v>
      </c>
      <c r="S73" s="135">
        <v>0</v>
      </c>
      <c r="T73" s="131">
        <v>0</v>
      </c>
      <c r="U73" s="127" t="s">
        <v>23</v>
      </c>
      <c r="V73" s="131">
        <v>11.37368106842041</v>
      </c>
      <c r="W73" s="192"/>
      <c r="X73" s="192"/>
      <c r="Y73" s="193"/>
      <c r="Z73" s="96">
        <f t="shared" si="13"/>
        <v>9.5367431640625E-7</v>
      </c>
    </row>
    <row r="74" spans="1:26" x14ac:dyDescent="0.2">
      <c r="B74" s="104"/>
      <c r="C74" s="169"/>
      <c r="D74" s="80" t="s">
        <v>18</v>
      </c>
      <c r="E74" s="119">
        <v>320</v>
      </c>
      <c r="F74" s="120">
        <v>35</v>
      </c>
      <c r="G74" s="117">
        <f t="shared" si="18"/>
        <v>285</v>
      </c>
      <c r="H74" s="117">
        <v>0</v>
      </c>
      <c r="I74" s="117">
        <v>0</v>
      </c>
      <c r="J74" s="117">
        <v>0</v>
      </c>
      <c r="K74" s="117">
        <v>0</v>
      </c>
      <c r="L74" s="117">
        <v>0</v>
      </c>
      <c r="M74" s="120">
        <v>0</v>
      </c>
      <c r="N74" s="120">
        <v>0</v>
      </c>
      <c r="O74" s="120">
        <v>0</v>
      </c>
      <c r="P74" s="120">
        <v>70</v>
      </c>
      <c r="Q74" s="119">
        <f>R74</f>
        <v>215</v>
      </c>
      <c r="R74" s="120">
        <v>215</v>
      </c>
      <c r="S74" s="120" t="s">
        <v>23</v>
      </c>
      <c r="T74" s="117" t="s">
        <v>23</v>
      </c>
      <c r="U74" s="118" t="s">
        <v>23</v>
      </c>
      <c r="V74" s="117">
        <v>0</v>
      </c>
      <c r="W74" s="192"/>
      <c r="X74" s="192"/>
      <c r="Y74" s="193"/>
      <c r="Z74" s="96">
        <f t="shared" si="13"/>
        <v>0</v>
      </c>
    </row>
    <row r="75" spans="1:26" x14ac:dyDescent="0.2">
      <c r="B75" s="104"/>
      <c r="C75" s="169"/>
      <c r="D75" s="80" t="s">
        <v>85</v>
      </c>
      <c r="E75" s="119">
        <v>12</v>
      </c>
      <c r="F75" s="119">
        <v>5.179999828338623</v>
      </c>
      <c r="G75" s="120">
        <f t="shared" si="18"/>
        <v>6.820000171661377</v>
      </c>
      <c r="H75" s="120">
        <v>0</v>
      </c>
      <c r="I75" s="120" t="s">
        <v>23</v>
      </c>
      <c r="J75" s="120" t="s">
        <v>23</v>
      </c>
      <c r="K75" s="120" t="s">
        <v>23</v>
      </c>
      <c r="L75" s="135" t="s">
        <v>23</v>
      </c>
      <c r="M75" s="120" t="s">
        <v>23</v>
      </c>
      <c r="N75" s="120" t="s">
        <v>23</v>
      </c>
      <c r="O75" s="120">
        <v>0</v>
      </c>
      <c r="P75" s="120">
        <v>0</v>
      </c>
      <c r="Q75" s="119">
        <f>R75</f>
        <v>6.820000171661377</v>
      </c>
      <c r="R75" s="120">
        <v>6.820000171661377</v>
      </c>
      <c r="S75" s="120" t="s">
        <v>23</v>
      </c>
      <c r="T75" s="117" t="s">
        <v>23</v>
      </c>
      <c r="U75" s="118" t="s">
        <v>23</v>
      </c>
      <c r="V75" s="117">
        <v>0</v>
      </c>
      <c r="W75" s="192"/>
      <c r="X75" s="192"/>
      <c r="Y75" s="193"/>
      <c r="Z75" s="96" t="e">
        <f t="shared" si="13"/>
        <v>#VALUE!</v>
      </c>
    </row>
    <row r="76" spans="1:26" x14ac:dyDescent="0.2">
      <c r="B76" s="104"/>
      <c r="C76" s="169"/>
      <c r="D76" s="80" t="s">
        <v>47</v>
      </c>
      <c r="E76" s="119">
        <v>10</v>
      </c>
      <c r="F76" s="120">
        <v>8.4899997711181641</v>
      </c>
      <c r="G76" s="120">
        <f t="shared" si="18"/>
        <v>1.5100002288818359</v>
      </c>
      <c r="H76" s="121">
        <v>0</v>
      </c>
      <c r="I76" s="120" t="s">
        <v>23</v>
      </c>
      <c r="J76" s="120" t="s">
        <v>23</v>
      </c>
      <c r="K76" s="120" t="s">
        <v>23</v>
      </c>
      <c r="L76" s="135" t="s">
        <v>23</v>
      </c>
      <c r="M76" s="120" t="s">
        <v>23</v>
      </c>
      <c r="N76" s="120" t="s">
        <v>23</v>
      </c>
      <c r="O76" s="120">
        <v>0</v>
      </c>
      <c r="P76" s="120">
        <v>0</v>
      </c>
      <c r="Q76" s="119">
        <f>R76</f>
        <v>1.5099999904632568</v>
      </c>
      <c r="R76" s="120">
        <v>1.5099999904632568</v>
      </c>
      <c r="S76" s="120" t="s">
        <v>23</v>
      </c>
      <c r="T76" s="117" t="s">
        <v>23</v>
      </c>
      <c r="U76" s="118" t="s">
        <v>23</v>
      </c>
      <c r="V76" s="117">
        <v>0</v>
      </c>
      <c r="W76" s="192"/>
      <c r="X76" s="192"/>
      <c r="Y76" s="193"/>
      <c r="Z76" s="96" t="e">
        <f t="shared" si="13"/>
        <v>#VALUE!</v>
      </c>
    </row>
    <row r="77" spans="1:26" x14ac:dyDescent="0.2">
      <c r="B77" s="104"/>
      <c r="C77" s="169"/>
      <c r="D77" s="80" t="s">
        <v>86</v>
      </c>
      <c r="E77" s="119">
        <f>18+24</f>
        <v>42</v>
      </c>
      <c r="F77" s="119">
        <f>3.109+24</f>
        <v>27.109000000000002</v>
      </c>
      <c r="G77" s="120">
        <f t="shared" si="18"/>
        <v>14.890999999999998</v>
      </c>
      <c r="H77" s="119">
        <f>0+0</f>
        <v>0</v>
      </c>
      <c r="I77" s="120" t="s">
        <v>23</v>
      </c>
      <c r="J77" s="120" t="s">
        <v>23</v>
      </c>
      <c r="K77" s="120" t="s">
        <v>23</v>
      </c>
      <c r="L77" s="135" t="s">
        <v>23</v>
      </c>
      <c r="M77" s="120" t="s">
        <v>23</v>
      </c>
      <c r="N77" s="120" t="s">
        <v>23</v>
      </c>
      <c r="O77" s="119">
        <f>0+0</f>
        <v>0</v>
      </c>
      <c r="P77" s="119">
        <f>0+0</f>
        <v>0</v>
      </c>
      <c r="Q77" s="119">
        <f>R77</f>
        <v>14.891</v>
      </c>
      <c r="R77" s="119">
        <f>14.891+0</f>
        <v>14.891</v>
      </c>
      <c r="S77" s="120" t="s">
        <v>23</v>
      </c>
      <c r="T77" s="117" t="s">
        <v>23</v>
      </c>
      <c r="U77" s="118" t="s">
        <v>23</v>
      </c>
      <c r="V77" s="117">
        <f>0+0</f>
        <v>0</v>
      </c>
      <c r="W77" s="192"/>
      <c r="X77" s="192"/>
      <c r="Y77" s="193"/>
      <c r="Z77" s="96" t="e">
        <f t="shared" si="13"/>
        <v>#VALUE!</v>
      </c>
    </row>
    <row r="78" spans="1:26" x14ac:dyDescent="0.2">
      <c r="B78" s="104"/>
      <c r="C78" s="169"/>
      <c r="D78" s="80" t="s">
        <v>48</v>
      </c>
      <c r="E78" s="119">
        <v>20.480001449584961</v>
      </c>
      <c r="F78" s="119">
        <v>20.480001449584961</v>
      </c>
      <c r="G78" s="120">
        <f t="shared" si="18"/>
        <v>0</v>
      </c>
      <c r="H78" s="119">
        <v>0</v>
      </c>
      <c r="I78" s="120" t="s">
        <v>23</v>
      </c>
      <c r="J78" s="120" t="s">
        <v>23</v>
      </c>
      <c r="K78" s="120" t="s">
        <v>23</v>
      </c>
      <c r="L78" s="135" t="s">
        <v>23</v>
      </c>
      <c r="M78" s="120" t="s">
        <v>23</v>
      </c>
      <c r="N78" s="120" t="s">
        <v>23</v>
      </c>
      <c r="O78" s="119">
        <v>0</v>
      </c>
      <c r="P78" s="119">
        <v>0</v>
      </c>
      <c r="Q78" s="119">
        <f>R78</f>
        <v>0</v>
      </c>
      <c r="R78" s="119">
        <v>0</v>
      </c>
      <c r="S78" s="120" t="s">
        <v>23</v>
      </c>
      <c r="T78" s="120" t="s">
        <v>23</v>
      </c>
      <c r="U78" s="122" t="s">
        <v>23</v>
      </c>
      <c r="V78" s="117">
        <v>0</v>
      </c>
      <c r="W78" s="192"/>
      <c r="X78" s="192"/>
      <c r="Y78" s="193"/>
      <c r="Z78" s="96" t="e">
        <f t="shared" si="13"/>
        <v>#VALUE!</v>
      </c>
    </row>
    <row r="79" spans="1:26" x14ac:dyDescent="0.2">
      <c r="B79" s="104"/>
      <c r="C79" s="169"/>
      <c r="D79" s="40" t="s">
        <v>115</v>
      </c>
      <c r="E79" s="116">
        <v>206.39999389648438</v>
      </c>
      <c r="F79" s="116">
        <v>0</v>
      </c>
      <c r="G79" s="117">
        <f t="shared" si="18"/>
        <v>217.77367496490479</v>
      </c>
      <c r="H79" s="116">
        <v>0</v>
      </c>
      <c r="I79" s="117">
        <v>0</v>
      </c>
      <c r="J79" s="117">
        <v>0</v>
      </c>
      <c r="K79" s="117">
        <v>0</v>
      </c>
      <c r="L79" s="131">
        <v>0</v>
      </c>
      <c r="M79" s="117">
        <v>0</v>
      </c>
      <c r="N79" s="117">
        <v>0</v>
      </c>
      <c r="O79" s="116">
        <v>0</v>
      </c>
      <c r="P79" s="116">
        <v>0</v>
      </c>
      <c r="Q79" s="116">
        <f>R79+S79+T79</f>
        <v>217.773681640625</v>
      </c>
      <c r="R79" s="116">
        <v>217.773681640625</v>
      </c>
      <c r="S79" s="117">
        <v>0</v>
      </c>
      <c r="T79" s="117">
        <v>0</v>
      </c>
      <c r="U79" s="118" t="s">
        <v>23</v>
      </c>
      <c r="V79" s="117">
        <v>11.37368106842041</v>
      </c>
      <c r="W79" s="192"/>
      <c r="X79" s="192"/>
      <c r="Y79" s="193"/>
      <c r="Z79" s="96">
        <f t="shared" si="13"/>
        <v>-6.67572021484375E-6</v>
      </c>
    </row>
    <row r="80" spans="1:26" x14ac:dyDescent="0.2">
      <c r="B80" s="104"/>
      <c r="C80" s="169"/>
      <c r="D80" s="79" t="s">
        <v>17</v>
      </c>
      <c r="E80" s="112">
        <f>SUM(E81:E83)</f>
        <v>9002.1999998092651</v>
      </c>
      <c r="F80" s="112">
        <f>SUM(F81:F83)</f>
        <v>4778.7719999504088</v>
      </c>
      <c r="G80" s="113">
        <f t="shared" si="18"/>
        <v>4223.4279998588563</v>
      </c>
      <c r="H80" s="113">
        <f>SUM(H81:H83)</f>
        <v>0</v>
      </c>
      <c r="I80" s="113">
        <f>SUM(I81:I82)</f>
        <v>0</v>
      </c>
      <c r="J80" s="113" t="s">
        <v>23</v>
      </c>
      <c r="K80" s="113">
        <f>SUM(K81:K82)</f>
        <v>0</v>
      </c>
      <c r="L80" s="126">
        <f>SUM(L81:L82)</f>
        <v>0</v>
      </c>
      <c r="M80" s="113">
        <f>SUM(M81:M82)</f>
        <v>0</v>
      </c>
      <c r="N80" s="113">
        <f>SUM(N81:N82)</f>
        <v>0</v>
      </c>
      <c r="O80" s="113">
        <f>SUM(O81:O83)</f>
        <v>0</v>
      </c>
      <c r="P80" s="113">
        <f>SUM(P81:P83)</f>
        <v>0</v>
      </c>
      <c r="Q80" s="113">
        <f>SUM(Q81:Q83)</f>
        <v>4223.4285419702528</v>
      </c>
      <c r="R80" s="113">
        <f>SUM(R81:R83)</f>
        <v>3847.728541970253</v>
      </c>
      <c r="S80" s="126" t="s">
        <v>23</v>
      </c>
      <c r="T80" s="126" t="s">
        <v>23</v>
      </c>
      <c r="U80" s="115">
        <f>SUM(U81:U82)</f>
        <v>375.7</v>
      </c>
      <c r="V80" s="113">
        <v>0</v>
      </c>
      <c r="W80" s="192"/>
      <c r="X80" s="192"/>
      <c r="Y80" s="193"/>
      <c r="Z80" s="96">
        <f t="shared" ref="Z80:Z111" si="21">E80-F80-H80-M80-N80-O80-P80-Q80+V80</f>
        <v>-5.4211139649851248E-4</v>
      </c>
    </row>
    <row r="81" spans="1:26" x14ac:dyDescent="0.2">
      <c r="B81" s="104"/>
      <c r="C81" s="169"/>
      <c r="D81" s="79" t="s">
        <v>87</v>
      </c>
      <c r="E81" s="112">
        <v>6000</v>
      </c>
      <c r="F81" s="113">
        <f>440+3335.859</f>
        <v>3775.8589999999999</v>
      </c>
      <c r="G81" s="113">
        <f t="shared" si="18"/>
        <v>2224.1410000000001</v>
      </c>
      <c r="H81" s="113">
        <f>I81+K81+L81</f>
        <v>0</v>
      </c>
      <c r="I81" s="113">
        <v>0</v>
      </c>
      <c r="J81" s="113" t="s">
        <v>23</v>
      </c>
      <c r="K81" s="113">
        <v>0</v>
      </c>
      <c r="L81" s="113">
        <v>0</v>
      </c>
      <c r="M81" s="113">
        <v>0</v>
      </c>
      <c r="N81" s="113">
        <v>0</v>
      </c>
      <c r="O81" s="113">
        <v>0</v>
      </c>
      <c r="P81" s="113">
        <v>0</v>
      </c>
      <c r="Q81" s="113">
        <f>SUM(R81:U81)</f>
        <v>2224.1413037109373</v>
      </c>
      <c r="R81" s="113">
        <v>1857.4613037109375</v>
      </c>
      <c r="S81" s="126" t="s">
        <v>23</v>
      </c>
      <c r="T81" s="126" t="s">
        <v>23</v>
      </c>
      <c r="U81" s="115">
        <v>366.68</v>
      </c>
      <c r="V81" s="117">
        <v>0</v>
      </c>
      <c r="W81" s="192"/>
      <c r="X81" s="192"/>
      <c r="Y81" s="193"/>
      <c r="Z81" s="96">
        <f t="shared" si="21"/>
        <v>-3.037109372598934E-4</v>
      </c>
    </row>
    <row r="82" spans="1:26" s="84" customFormat="1" x14ac:dyDescent="0.2">
      <c r="A82" s="51"/>
      <c r="B82" s="104"/>
      <c r="C82" s="169"/>
      <c r="D82" s="81" t="s">
        <v>44</v>
      </c>
      <c r="E82" s="119">
        <v>2997</v>
      </c>
      <c r="F82" s="120">
        <f>0+999.011</f>
        <v>999.01099999999997</v>
      </c>
      <c r="G82" s="120">
        <f t="shared" si="18"/>
        <v>1997.989</v>
      </c>
      <c r="H82" s="120">
        <f>I82+K82+L82</f>
        <v>0</v>
      </c>
      <c r="I82" s="120">
        <v>0</v>
      </c>
      <c r="J82" s="120" t="s">
        <v>23</v>
      </c>
      <c r="K82" s="120">
        <v>0</v>
      </c>
      <c r="L82" s="135">
        <v>0</v>
      </c>
      <c r="M82" s="120">
        <v>0</v>
      </c>
      <c r="N82" s="120">
        <v>0</v>
      </c>
      <c r="O82" s="120">
        <v>0</v>
      </c>
      <c r="P82" s="120">
        <v>0</v>
      </c>
      <c r="Q82" s="114">
        <f>SUM(R82:U82)</f>
        <v>1997.98923828125</v>
      </c>
      <c r="R82" s="120">
        <v>1988.96923828125</v>
      </c>
      <c r="S82" s="124" t="s">
        <v>23</v>
      </c>
      <c r="T82" s="124" t="s">
        <v>23</v>
      </c>
      <c r="U82" s="133">
        <v>9.02</v>
      </c>
      <c r="V82" s="120">
        <v>0</v>
      </c>
      <c r="W82" s="192"/>
      <c r="X82" s="192"/>
      <c r="Y82" s="193"/>
      <c r="Z82" s="96">
        <f t="shared" si="21"/>
        <v>-2.382812499490683E-4</v>
      </c>
    </row>
    <row r="83" spans="1:26" ht="13.5" thickBot="1" x14ac:dyDescent="0.25">
      <c r="B83" s="104"/>
      <c r="C83" s="169"/>
      <c r="D83" s="40" t="s">
        <v>32</v>
      </c>
      <c r="E83" s="117">
        <v>5.1999998092651367</v>
      </c>
      <c r="F83" s="117">
        <v>3.9019999504089355</v>
      </c>
      <c r="G83" s="117">
        <f t="shared" si="18"/>
        <v>1.2979998588562012</v>
      </c>
      <c r="H83" s="117">
        <v>0</v>
      </c>
      <c r="I83" s="117" t="s">
        <v>23</v>
      </c>
      <c r="J83" s="117" t="s">
        <v>23</v>
      </c>
      <c r="K83" s="117" t="s">
        <v>23</v>
      </c>
      <c r="L83" s="117" t="s">
        <v>23</v>
      </c>
      <c r="M83" s="117" t="s">
        <v>23</v>
      </c>
      <c r="N83" s="117" t="s">
        <v>23</v>
      </c>
      <c r="O83" s="117">
        <v>0</v>
      </c>
      <c r="P83" s="117">
        <v>0</v>
      </c>
      <c r="Q83" s="117">
        <f>SUM(R83:U83)</f>
        <v>1.2979999780654907</v>
      </c>
      <c r="R83" s="117">
        <v>1.2979999780654907</v>
      </c>
      <c r="S83" s="117" t="s">
        <v>23</v>
      </c>
      <c r="T83" s="117" t="s">
        <v>23</v>
      </c>
      <c r="U83" s="118" t="s">
        <v>23</v>
      </c>
      <c r="V83" s="117">
        <v>0</v>
      </c>
      <c r="W83" s="192"/>
      <c r="X83" s="192"/>
      <c r="Y83" s="193"/>
      <c r="Z83" s="96" t="e">
        <f t="shared" si="21"/>
        <v>#VALUE!</v>
      </c>
    </row>
    <row r="84" spans="1:26" ht="13.5" thickBot="1" x14ac:dyDescent="0.25">
      <c r="B84" s="173" t="s">
        <v>155</v>
      </c>
      <c r="C84" s="75">
        <v>43859.208333333336</v>
      </c>
      <c r="D84" s="77"/>
      <c r="E84" s="109">
        <f t="shared" ref="E84:T84" si="22">E85</f>
        <v>17</v>
      </c>
      <c r="F84" s="110">
        <f t="shared" si="22"/>
        <v>10.770000457763672</v>
      </c>
      <c r="G84" s="110">
        <f t="shared" si="22"/>
        <v>6.2299995422363281</v>
      </c>
      <c r="H84" s="111">
        <f t="shared" si="22"/>
        <v>0</v>
      </c>
      <c r="I84" s="111">
        <f t="shared" si="22"/>
        <v>0</v>
      </c>
      <c r="J84" s="111">
        <f t="shared" si="22"/>
        <v>0</v>
      </c>
      <c r="K84" s="111">
        <f t="shared" si="22"/>
        <v>0</v>
      </c>
      <c r="L84" s="110">
        <f t="shared" si="22"/>
        <v>0</v>
      </c>
      <c r="M84" s="111">
        <f t="shared" si="22"/>
        <v>0</v>
      </c>
      <c r="N84" s="111">
        <f t="shared" si="22"/>
        <v>0</v>
      </c>
      <c r="O84" s="111">
        <f t="shared" si="22"/>
        <v>0</v>
      </c>
      <c r="P84" s="111">
        <f t="shared" si="22"/>
        <v>0</v>
      </c>
      <c r="Q84" s="111">
        <f t="shared" si="22"/>
        <v>6.2300000190734863</v>
      </c>
      <c r="R84" s="111">
        <f t="shared" si="22"/>
        <v>6.2300000190734863</v>
      </c>
      <c r="S84" s="111">
        <f t="shared" si="22"/>
        <v>0</v>
      </c>
      <c r="T84" s="111">
        <f t="shared" si="22"/>
        <v>0</v>
      </c>
      <c r="U84" s="110" t="s">
        <v>23</v>
      </c>
      <c r="V84" s="111">
        <f>V85</f>
        <v>0</v>
      </c>
      <c r="W84" s="23">
        <v>128.48345947265625</v>
      </c>
      <c r="X84" s="16">
        <v>143.63581848144531</v>
      </c>
      <c r="Y84" s="17">
        <v>3062.3366241455078</v>
      </c>
      <c r="Z84" s="96">
        <f t="shared" si="21"/>
        <v>-4.76837158203125E-7</v>
      </c>
    </row>
    <row r="85" spans="1:26" ht="13.5" thickBot="1" x14ac:dyDescent="0.25">
      <c r="B85" s="174"/>
      <c r="C85" s="103"/>
      <c r="D85" s="79" t="s">
        <v>88</v>
      </c>
      <c r="E85" s="112">
        <v>17</v>
      </c>
      <c r="F85" s="113">
        <v>10.770000457763672</v>
      </c>
      <c r="G85" s="113">
        <f>SUM(E85)-SUM(F85)+V85</f>
        <v>6.2299995422363281</v>
      </c>
      <c r="H85" s="113">
        <v>0</v>
      </c>
      <c r="I85" s="113">
        <v>0</v>
      </c>
      <c r="J85" s="113">
        <v>0</v>
      </c>
      <c r="K85" s="113">
        <v>0</v>
      </c>
      <c r="L85" s="126">
        <v>0</v>
      </c>
      <c r="M85" s="113">
        <v>0</v>
      </c>
      <c r="N85" s="113">
        <v>0</v>
      </c>
      <c r="O85" s="113">
        <v>0</v>
      </c>
      <c r="P85" s="113">
        <v>0</v>
      </c>
      <c r="Q85" s="113">
        <f>SUM(R85:T85)</f>
        <v>6.2300000190734863</v>
      </c>
      <c r="R85" s="113">
        <v>6.2300000190734863</v>
      </c>
      <c r="S85" s="113">
        <v>0</v>
      </c>
      <c r="T85" s="113">
        <v>0</v>
      </c>
      <c r="U85" s="115" t="s">
        <v>23</v>
      </c>
      <c r="V85" s="113">
        <v>0</v>
      </c>
      <c r="W85" s="192"/>
      <c r="X85" s="192"/>
      <c r="Y85" s="193"/>
      <c r="Z85" s="96">
        <f t="shared" si="21"/>
        <v>-4.76837158203125E-7</v>
      </c>
    </row>
    <row r="86" spans="1:26" ht="13.5" thickBot="1" x14ac:dyDescent="0.25">
      <c r="B86" s="74" t="s">
        <v>156</v>
      </c>
      <c r="C86" s="75">
        <v>43859.166666666664</v>
      </c>
      <c r="D86" s="77"/>
      <c r="E86" s="109">
        <f>SUM(E88:E102)</f>
        <v>13132.100006103516</v>
      </c>
      <c r="F86" s="110">
        <f>SUM(F88:F102)</f>
        <v>2078.6312408828735</v>
      </c>
      <c r="G86" s="110">
        <f>SUM(G88:G102)</f>
        <v>11056.915255031585</v>
      </c>
      <c r="H86" s="111">
        <f>SUM(H88:H102)</f>
        <v>842.8</v>
      </c>
      <c r="I86" s="111">
        <f>SUM(I88:I102)</f>
        <v>293.60000000000002</v>
      </c>
      <c r="J86" s="111">
        <f>SUM(J88:J101)</f>
        <v>0</v>
      </c>
      <c r="K86" s="111">
        <f t="shared" ref="K86:S86" si="23">SUM(K88:K102)</f>
        <v>549.20000000000005</v>
      </c>
      <c r="L86" s="110">
        <f t="shared" si="23"/>
        <v>0</v>
      </c>
      <c r="M86" s="111">
        <f t="shared" si="23"/>
        <v>0</v>
      </c>
      <c r="N86" s="111">
        <f t="shared" si="23"/>
        <v>0</v>
      </c>
      <c r="O86" s="111">
        <f t="shared" si="23"/>
        <v>0</v>
      </c>
      <c r="P86" s="111">
        <f t="shared" si="23"/>
        <v>65</v>
      </c>
      <c r="Q86" s="111">
        <f t="shared" si="23"/>
        <v>10149.115671024365</v>
      </c>
      <c r="R86" s="111">
        <f t="shared" si="23"/>
        <v>7594.2545824050903</v>
      </c>
      <c r="S86" s="111">
        <f t="shared" si="23"/>
        <v>404.51844453811646</v>
      </c>
      <c r="T86" s="111">
        <f>SUM(T88:T101)</f>
        <v>1263.3000030517578</v>
      </c>
      <c r="U86" s="110">
        <f>SUM(U102)</f>
        <v>887.04264102939999</v>
      </c>
      <c r="V86" s="111">
        <f>SUM(V88:V102)</f>
        <v>3.4464898109436035</v>
      </c>
      <c r="W86" s="16">
        <v>7356.97314453125</v>
      </c>
      <c r="X86" s="16">
        <v>7546.701171875</v>
      </c>
      <c r="Y86" s="17">
        <v>175577.06298828125</v>
      </c>
      <c r="Z86" s="96">
        <f t="shared" si="21"/>
        <v>-4.1599277938075829E-4</v>
      </c>
    </row>
    <row r="87" spans="1:26" s="55" customFormat="1" x14ac:dyDescent="0.2">
      <c r="A87" s="51"/>
      <c r="B87" s="166"/>
      <c r="C87" s="188"/>
      <c r="D87" s="81" t="s">
        <v>31</v>
      </c>
      <c r="E87" s="137">
        <f>SUM(E88:E101)</f>
        <v>4043.6999816894531</v>
      </c>
      <c r="F87" s="125">
        <f>SUM(F88:F101)</f>
        <v>219.21624088287354</v>
      </c>
      <c r="G87" s="125">
        <f t="shared" ref="G87:G106" si="24">SUM(E87)-SUM(F87)+V87</f>
        <v>3827.9302306175232</v>
      </c>
      <c r="H87" s="124">
        <f t="shared" ref="H87:T87" si="25">SUM(H88:H101)</f>
        <v>142</v>
      </c>
      <c r="I87" s="124">
        <f t="shared" si="25"/>
        <v>60</v>
      </c>
      <c r="J87" s="124">
        <f t="shared" si="25"/>
        <v>0</v>
      </c>
      <c r="K87" s="124">
        <f t="shared" si="25"/>
        <v>82</v>
      </c>
      <c r="L87" s="125">
        <f t="shared" si="25"/>
        <v>0</v>
      </c>
      <c r="M87" s="124">
        <f t="shared" si="25"/>
        <v>0</v>
      </c>
      <c r="N87" s="124">
        <f t="shared" si="25"/>
        <v>0</v>
      </c>
      <c r="O87" s="124">
        <f t="shared" si="25"/>
        <v>0</v>
      </c>
      <c r="P87" s="124">
        <f t="shared" si="25"/>
        <v>65</v>
      </c>
      <c r="Q87" s="124">
        <f t="shared" si="25"/>
        <v>3620.9302515983582</v>
      </c>
      <c r="R87" s="124">
        <f t="shared" si="25"/>
        <v>1953.1118040084839</v>
      </c>
      <c r="S87" s="124">
        <f t="shared" si="25"/>
        <v>404.51844453811646</v>
      </c>
      <c r="T87" s="124">
        <f t="shared" si="25"/>
        <v>1263.3000030517578</v>
      </c>
      <c r="U87" s="125" t="s">
        <v>23</v>
      </c>
      <c r="V87" s="138">
        <f>SUM(V88:V101)</f>
        <v>3.4464898109436035</v>
      </c>
      <c r="W87" s="194"/>
      <c r="X87" s="192"/>
      <c r="Y87" s="193"/>
      <c r="Z87" s="96">
        <f t="shared" si="21"/>
        <v>-2.09808349609375E-5</v>
      </c>
    </row>
    <row r="88" spans="1:26" x14ac:dyDescent="0.2">
      <c r="B88" s="167"/>
      <c r="C88" s="169"/>
      <c r="D88" s="40" t="s">
        <v>89</v>
      </c>
      <c r="E88" s="116">
        <v>79</v>
      </c>
      <c r="F88" s="117">
        <v>25</v>
      </c>
      <c r="G88" s="117">
        <f t="shared" si="24"/>
        <v>54</v>
      </c>
      <c r="H88" s="117">
        <v>0</v>
      </c>
      <c r="I88" s="117">
        <v>0</v>
      </c>
      <c r="J88" s="117">
        <v>0</v>
      </c>
      <c r="K88" s="117">
        <v>0</v>
      </c>
      <c r="L88" s="131">
        <v>0</v>
      </c>
      <c r="M88" s="117">
        <v>0</v>
      </c>
      <c r="N88" s="117">
        <v>0</v>
      </c>
      <c r="O88" s="117">
        <v>0</v>
      </c>
      <c r="P88" s="117">
        <v>0</v>
      </c>
      <c r="Q88" s="117">
        <f t="shared" ref="Q88:Q101" si="26">SUM(R88:T88)</f>
        <v>54.000000476837158</v>
      </c>
      <c r="R88" s="117">
        <v>31.298069000244141</v>
      </c>
      <c r="S88" s="117">
        <v>7.7019314765930176</v>
      </c>
      <c r="T88" s="117">
        <v>15</v>
      </c>
      <c r="U88" s="118" t="s">
        <v>23</v>
      </c>
      <c r="V88" s="117">
        <v>0</v>
      </c>
      <c r="W88" s="192"/>
      <c r="X88" s="192"/>
      <c r="Y88" s="193"/>
      <c r="Z88" s="96">
        <f t="shared" si="21"/>
        <v>-4.76837158203125E-7</v>
      </c>
    </row>
    <row r="89" spans="1:26" x14ac:dyDescent="0.2">
      <c r="B89" s="167"/>
      <c r="C89" s="169"/>
      <c r="D89" s="40" t="s">
        <v>90</v>
      </c>
      <c r="E89" s="116">
        <v>18</v>
      </c>
      <c r="F89" s="117">
        <v>0</v>
      </c>
      <c r="G89" s="117">
        <f t="shared" si="24"/>
        <v>18</v>
      </c>
      <c r="H89" s="117">
        <v>0</v>
      </c>
      <c r="I89" s="117">
        <v>0</v>
      </c>
      <c r="J89" s="117">
        <v>0</v>
      </c>
      <c r="K89" s="117">
        <v>0</v>
      </c>
      <c r="L89" s="131">
        <v>0</v>
      </c>
      <c r="M89" s="117">
        <v>0</v>
      </c>
      <c r="N89" s="117">
        <v>0</v>
      </c>
      <c r="O89" s="117">
        <v>0</v>
      </c>
      <c r="P89" s="117">
        <v>0</v>
      </c>
      <c r="Q89" s="117">
        <f t="shared" si="26"/>
        <v>18</v>
      </c>
      <c r="R89" s="117">
        <v>18</v>
      </c>
      <c r="S89" s="117">
        <v>0</v>
      </c>
      <c r="T89" s="117">
        <v>0</v>
      </c>
      <c r="U89" s="118" t="s">
        <v>23</v>
      </c>
      <c r="V89" s="117">
        <v>0</v>
      </c>
      <c r="W89" s="192"/>
      <c r="X89" s="192"/>
      <c r="Y89" s="193"/>
      <c r="Z89" s="96">
        <f t="shared" si="21"/>
        <v>0</v>
      </c>
    </row>
    <row r="90" spans="1:26" x14ac:dyDescent="0.2">
      <c r="B90" s="167"/>
      <c r="C90" s="169"/>
      <c r="D90" s="40" t="s">
        <v>92</v>
      </c>
      <c r="E90" s="116">
        <v>270</v>
      </c>
      <c r="F90" s="117">
        <v>26</v>
      </c>
      <c r="G90" s="117">
        <f t="shared" si="24"/>
        <v>244</v>
      </c>
      <c r="H90" s="117">
        <v>0</v>
      </c>
      <c r="I90" s="117">
        <v>0</v>
      </c>
      <c r="J90" s="117">
        <v>0</v>
      </c>
      <c r="K90" s="117">
        <v>0</v>
      </c>
      <c r="L90" s="131">
        <v>0</v>
      </c>
      <c r="M90" s="117">
        <v>0</v>
      </c>
      <c r="N90" s="117">
        <v>0</v>
      </c>
      <c r="O90" s="117">
        <v>0</v>
      </c>
      <c r="P90" s="117">
        <v>0</v>
      </c>
      <c r="Q90" s="117">
        <f t="shared" si="26"/>
        <v>243.99999809265137</v>
      </c>
      <c r="R90" s="117">
        <v>124.56462860107422</v>
      </c>
      <c r="S90" s="117">
        <v>5.4353694915771484</v>
      </c>
      <c r="T90" s="117">
        <v>114</v>
      </c>
      <c r="U90" s="118" t="s">
        <v>23</v>
      </c>
      <c r="V90" s="117">
        <v>0</v>
      </c>
      <c r="W90" s="192"/>
      <c r="X90" s="192"/>
      <c r="Y90" s="193"/>
      <c r="Z90" s="96">
        <f t="shared" si="21"/>
        <v>1.9073486328125E-6</v>
      </c>
    </row>
    <row r="91" spans="1:26" x14ac:dyDescent="0.2">
      <c r="B91" s="167"/>
      <c r="C91" s="169"/>
      <c r="D91" s="40" t="s">
        <v>93</v>
      </c>
      <c r="E91" s="116">
        <v>540</v>
      </c>
      <c r="F91" s="117">
        <v>0</v>
      </c>
      <c r="G91" s="117">
        <f t="shared" si="24"/>
        <v>540</v>
      </c>
      <c r="H91" s="117">
        <v>120</v>
      </c>
      <c r="I91" s="117">
        <v>60</v>
      </c>
      <c r="J91" s="117">
        <v>0</v>
      </c>
      <c r="K91" s="117">
        <v>60</v>
      </c>
      <c r="L91" s="131">
        <v>0</v>
      </c>
      <c r="M91" s="117">
        <v>0</v>
      </c>
      <c r="N91" s="117">
        <v>0</v>
      </c>
      <c r="O91" s="117">
        <v>0</v>
      </c>
      <c r="P91" s="117">
        <v>0</v>
      </c>
      <c r="Q91" s="117">
        <f t="shared" si="26"/>
        <v>420.0000114440918</v>
      </c>
      <c r="R91" s="117">
        <v>323.37844848632813</v>
      </c>
      <c r="S91" s="117">
        <v>46.621562957763672</v>
      </c>
      <c r="T91" s="117">
        <v>50</v>
      </c>
      <c r="U91" s="118" t="s">
        <v>23</v>
      </c>
      <c r="V91" s="117">
        <v>0</v>
      </c>
      <c r="W91" s="192"/>
      <c r="X91" s="192"/>
      <c r="Y91" s="193"/>
      <c r="Z91" s="96">
        <f t="shared" si="21"/>
        <v>-1.1444091796875E-5</v>
      </c>
    </row>
    <row r="92" spans="1:26" x14ac:dyDescent="0.2">
      <c r="B92" s="167"/>
      <c r="C92" s="169"/>
      <c r="D92" s="40" t="s">
        <v>94</v>
      </c>
      <c r="E92" s="116">
        <v>1110</v>
      </c>
      <c r="F92" s="117">
        <v>0</v>
      </c>
      <c r="G92" s="117">
        <f t="shared" si="24"/>
        <v>1110</v>
      </c>
      <c r="H92" s="117">
        <v>0</v>
      </c>
      <c r="I92" s="117">
        <v>0</v>
      </c>
      <c r="J92" s="117">
        <v>0</v>
      </c>
      <c r="K92" s="117">
        <v>0</v>
      </c>
      <c r="L92" s="131">
        <v>0</v>
      </c>
      <c r="M92" s="117">
        <v>0</v>
      </c>
      <c r="N92" s="117">
        <v>0</v>
      </c>
      <c r="O92" s="117">
        <v>0</v>
      </c>
      <c r="P92" s="117">
        <v>0</v>
      </c>
      <c r="Q92" s="117">
        <f t="shared" si="26"/>
        <v>1110.0000152587891</v>
      </c>
      <c r="R92" s="117">
        <v>361.96029663085938</v>
      </c>
      <c r="S92" s="117">
        <v>148.03971862792969</v>
      </c>
      <c r="T92" s="117">
        <v>600</v>
      </c>
      <c r="U92" s="118" t="s">
        <v>23</v>
      </c>
      <c r="V92" s="117">
        <v>0</v>
      </c>
      <c r="W92" s="192"/>
      <c r="X92" s="192"/>
      <c r="Y92" s="193"/>
      <c r="Z92" s="96">
        <f t="shared" si="21"/>
        <v>-1.52587890625E-5</v>
      </c>
    </row>
    <row r="93" spans="1:26" x14ac:dyDescent="0.2">
      <c r="B93" s="167"/>
      <c r="C93" s="169"/>
      <c r="D93" s="40" t="s">
        <v>95</v>
      </c>
      <c r="E93" s="116">
        <v>320.29998779296875</v>
      </c>
      <c r="F93" s="117">
        <v>5</v>
      </c>
      <c r="G93" s="117">
        <f t="shared" si="24"/>
        <v>318.74647760391235</v>
      </c>
      <c r="H93" s="117">
        <v>22</v>
      </c>
      <c r="I93" s="117">
        <v>0</v>
      </c>
      <c r="J93" s="117">
        <v>0</v>
      </c>
      <c r="K93" s="117">
        <v>22</v>
      </c>
      <c r="L93" s="131">
        <v>0</v>
      </c>
      <c r="M93" s="117">
        <v>0</v>
      </c>
      <c r="N93" s="117">
        <v>0</v>
      </c>
      <c r="O93" s="117">
        <v>0</v>
      </c>
      <c r="P93" s="117">
        <v>0</v>
      </c>
      <c r="Q93" s="117">
        <f t="shared" si="26"/>
        <v>296.74649429321289</v>
      </c>
      <c r="R93" s="117">
        <v>124.65354156494141</v>
      </c>
      <c r="S93" s="117">
        <v>28.792949676513672</v>
      </c>
      <c r="T93" s="117">
        <v>143.30000305175781</v>
      </c>
      <c r="U93" s="118" t="s">
        <v>23</v>
      </c>
      <c r="V93" s="117">
        <v>3.4464898109436035</v>
      </c>
      <c r="W93" s="192"/>
      <c r="X93" s="192"/>
      <c r="Y93" s="193"/>
      <c r="Z93" s="96">
        <f t="shared" si="21"/>
        <v>-1.6689300537109375E-5</v>
      </c>
    </row>
    <row r="94" spans="1:26" x14ac:dyDescent="0.2">
      <c r="B94" s="167"/>
      <c r="C94" s="169"/>
      <c r="D94" s="40" t="s">
        <v>96</v>
      </c>
      <c r="E94" s="116">
        <v>12</v>
      </c>
      <c r="F94" s="117">
        <v>0</v>
      </c>
      <c r="G94" s="117">
        <f t="shared" si="24"/>
        <v>12</v>
      </c>
      <c r="H94" s="117">
        <v>0</v>
      </c>
      <c r="I94" s="117">
        <v>0</v>
      </c>
      <c r="J94" s="117">
        <v>0</v>
      </c>
      <c r="K94" s="117">
        <v>0</v>
      </c>
      <c r="L94" s="131">
        <v>0</v>
      </c>
      <c r="M94" s="117">
        <v>0</v>
      </c>
      <c r="N94" s="117">
        <v>0</v>
      </c>
      <c r="O94" s="117">
        <v>0</v>
      </c>
      <c r="P94" s="117">
        <v>0</v>
      </c>
      <c r="Q94" s="117">
        <f t="shared" si="26"/>
        <v>12</v>
      </c>
      <c r="R94" s="117">
        <v>12</v>
      </c>
      <c r="S94" s="117">
        <v>0</v>
      </c>
      <c r="T94" s="117">
        <v>0</v>
      </c>
      <c r="U94" s="118" t="s">
        <v>23</v>
      </c>
      <c r="V94" s="117">
        <v>0</v>
      </c>
      <c r="W94" s="192"/>
      <c r="X94" s="192"/>
      <c r="Y94" s="193"/>
      <c r="Z94" s="96">
        <f t="shared" si="21"/>
        <v>0</v>
      </c>
    </row>
    <row r="95" spans="1:26" x14ac:dyDescent="0.2">
      <c r="B95" s="167"/>
      <c r="C95" s="169"/>
      <c r="D95" s="40" t="s">
        <v>97</v>
      </c>
      <c r="E95" s="116">
        <v>18</v>
      </c>
      <c r="F95" s="117">
        <v>12</v>
      </c>
      <c r="G95" s="117">
        <f t="shared" si="24"/>
        <v>6</v>
      </c>
      <c r="H95" s="117">
        <v>0</v>
      </c>
      <c r="I95" s="117">
        <v>0</v>
      </c>
      <c r="J95" s="117">
        <v>0</v>
      </c>
      <c r="K95" s="117">
        <v>0</v>
      </c>
      <c r="L95" s="131">
        <v>0</v>
      </c>
      <c r="M95" s="117">
        <v>0</v>
      </c>
      <c r="N95" s="117">
        <v>0</v>
      </c>
      <c r="O95" s="117">
        <v>0</v>
      </c>
      <c r="P95" s="117">
        <v>0</v>
      </c>
      <c r="Q95" s="117">
        <f t="shared" si="26"/>
        <v>6</v>
      </c>
      <c r="R95" s="117">
        <v>6</v>
      </c>
      <c r="S95" s="117">
        <v>0</v>
      </c>
      <c r="T95" s="117">
        <v>0</v>
      </c>
      <c r="U95" s="118" t="s">
        <v>23</v>
      </c>
      <c r="V95" s="117">
        <v>0</v>
      </c>
      <c r="W95" s="192"/>
      <c r="X95" s="192"/>
      <c r="Y95" s="193"/>
      <c r="Z95" s="96">
        <f t="shared" si="21"/>
        <v>0</v>
      </c>
    </row>
    <row r="96" spans="1:26" x14ac:dyDescent="0.2">
      <c r="B96" s="167"/>
      <c r="C96" s="169"/>
      <c r="D96" s="40" t="s">
        <v>91</v>
      </c>
      <c r="E96" s="116">
        <v>12</v>
      </c>
      <c r="F96" s="117">
        <v>6</v>
      </c>
      <c r="G96" s="117">
        <f t="shared" si="24"/>
        <v>6</v>
      </c>
      <c r="H96" s="117">
        <v>0</v>
      </c>
      <c r="I96" s="117">
        <v>0</v>
      </c>
      <c r="J96" s="117">
        <v>0</v>
      </c>
      <c r="K96" s="117">
        <v>0</v>
      </c>
      <c r="L96" s="131">
        <v>0</v>
      </c>
      <c r="M96" s="117">
        <v>0</v>
      </c>
      <c r="N96" s="117">
        <v>0</v>
      </c>
      <c r="O96" s="117">
        <v>0</v>
      </c>
      <c r="P96" s="117">
        <v>0</v>
      </c>
      <c r="Q96" s="117">
        <f t="shared" si="26"/>
        <v>6</v>
      </c>
      <c r="R96" s="117">
        <v>6</v>
      </c>
      <c r="S96" s="117">
        <v>0</v>
      </c>
      <c r="T96" s="117">
        <v>0</v>
      </c>
      <c r="U96" s="118" t="s">
        <v>23</v>
      </c>
      <c r="V96" s="117">
        <v>0</v>
      </c>
      <c r="W96" s="192"/>
      <c r="X96" s="192"/>
      <c r="Y96" s="193"/>
      <c r="Z96" s="96">
        <f t="shared" si="21"/>
        <v>0</v>
      </c>
    </row>
    <row r="97" spans="1:26" x14ac:dyDescent="0.2">
      <c r="B97" s="167"/>
      <c r="C97" s="169"/>
      <c r="D97" s="40" t="s">
        <v>98</v>
      </c>
      <c r="E97" s="116">
        <v>260</v>
      </c>
      <c r="F97" s="117">
        <v>0</v>
      </c>
      <c r="G97" s="117">
        <f t="shared" si="24"/>
        <v>260</v>
      </c>
      <c r="H97" s="117">
        <v>0</v>
      </c>
      <c r="I97" s="117">
        <v>0</v>
      </c>
      <c r="J97" s="117">
        <v>0</v>
      </c>
      <c r="K97" s="117">
        <v>0</v>
      </c>
      <c r="L97" s="131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f t="shared" si="26"/>
        <v>260</v>
      </c>
      <c r="R97" s="117">
        <v>148.01908874511719</v>
      </c>
      <c r="S97" s="117">
        <v>111.98091125488281</v>
      </c>
      <c r="T97" s="117">
        <v>0</v>
      </c>
      <c r="U97" s="118" t="s">
        <v>23</v>
      </c>
      <c r="V97" s="117">
        <v>0</v>
      </c>
      <c r="W97" s="192"/>
      <c r="X97" s="192"/>
      <c r="Y97" s="193"/>
      <c r="Z97" s="96">
        <f t="shared" si="21"/>
        <v>0</v>
      </c>
    </row>
    <row r="98" spans="1:26" x14ac:dyDescent="0.2">
      <c r="B98" s="167"/>
      <c r="C98" s="169"/>
      <c r="D98" s="40" t="s">
        <v>99</v>
      </c>
      <c r="E98" s="116">
        <v>708</v>
      </c>
      <c r="F98" s="117">
        <v>0</v>
      </c>
      <c r="G98" s="117">
        <f t="shared" si="24"/>
        <v>708</v>
      </c>
      <c r="H98" s="117">
        <v>0</v>
      </c>
      <c r="I98" s="117">
        <v>0</v>
      </c>
      <c r="J98" s="117">
        <v>0</v>
      </c>
      <c r="K98" s="117">
        <v>0</v>
      </c>
      <c r="L98" s="131">
        <v>0</v>
      </c>
      <c r="M98" s="117">
        <v>0</v>
      </c>
      <c r="N98" s="117">
        <v>0</v>
      </c>
      <c r="O98" s="117">
        <v>0</v>
      </c>
      <c r="P98" s="117">
        <v>65</v>
      </c>
      <c r="Q98" s="117">
        <f t="shared" si="26"/>
        <v>642.99996948242188</v>
      </c>
      <c r="R98" s="117">
        <v>551.34503173828125</v>
      </c>
      <c r="S98" s="117">
        <v>38.654937744140625</v>
      </c>
      <c r="T98" s="117">
        <v>53</v>
      </c>
      <c r="U98" s="118" t="s">
        <v>23</v>
      </c>
      <c r="V98" s="117">
        <v>0</v>
      </c>
      <c r="W98" s="192"/>
      <c r="X98" s="192"/>
      <c r="Y98" s="193"/>
      <c r="Z98" s="96">
        <f t="shared" si="21"/>
        <v>3.0517578125E-5</v>
      </c>
    </row>
    <row r="99" spans="1:26" x14ac:dyDescent="0.2">
      <c r="B99" s="167"/>
      <c r="C99" s="169"/>
      <c r="D99" s="40" t="s">
        <v>100</v>
      </c>
      <c r="E99" s="116">
        <v>515</v>
      </c>
      <c r="F99" s="117">
        <v>67</v>
      </c>
      <c r="G99" s="117">
        <f t="shared" si="24"/>
        <v>448</v>
      </c>
      <c r="H99" s="117">
        <v>0</v>
      </c>
      <c r="I99" s="117">
        <v>0</v>
      </c>
      <c r="J99" s="117">
        <v>0</v>
      </c>
      <c r="K99" s="117">
        <v>0</v>
      </c>
      <c r="L99" s="131">
        <v>0</v>
      </c>
      <c r="M99" s="117">
        <v>0</v>
      </c>
      <c r="N99" s="117">
        <v>0</v>
      </c>
      <c r="O99" s="117">
        <v>0</v>
      </c>
      <c r="P99" s="117">
        <v>0</v>
      </c>
      <c r="Q99" s="117">
        <f t="shared" si="26"/>
        <v>448.00000190734863</v>
      </c>
      <c r="R99" s="117">
        <v>142.70893859863281</v>
      </c>
      <c r="S99" s="117">
        <v>17.29106330871582</v>
      </c>
      <c r="T99" s="117">
        <v>288</v>
      </c>
      <c r="U99" s="118" t="s">
        <v>23</v>
      </c>
      <c r="V99" s="117">
        <v>0</v>
      </c>
      <c r="W99" s="192"/>
      <c r="X99" s="192"/>
      <c r="Y99" s="193"/>
      <c r="Z99" s="96">
        <f t="shared" si="21"/>
        <v>-1.9073486328125E-6</v>
      </c>
    </row>
    <row r="100" spans="1:26" s="55" customFormat="1" x14ac:dyDescent="0.2">
      <c r="A100" s="51"/>
      <c r="B100" s="167"/>
      <c r="C100" s="169"/>
      <c r="D100" s="80" t="s">
        <v>128</v>
      </c>
      <c r="E100" s="136">
        <v>24</v>
      </c>
      <c r="F100" s="131">
        <v>9.4162378311157227</v>
      </c>
      <c r="G100" s="131">
        <f t="shared" si="24"/>
        <v>14.583762168884277</v>
      </c>
      <c r="H100" s="131">
        <v>0</v>
      </c>
      <c r="I100" s="131">
        <v>0</v>
      </c>
      <c r="J100" s="131">
        <v>0</v>
      </c>
      <c r="K100" s="131">
        <v>0</v>
      </c>
      <c r="L100" s="131">
        <v>0</v>
      </c>
      <c r="M100" s="131">
        <v>0</v>
      </c>
      <c r="N100" s="131">
        <v>0</v>
      </c>
      <c r="O100" s="131">
        <v>0</v>
      </c>
      <c r="P100" s="131">
        <v>0</v>
      </c>
      <c r="Q100" s="131">
        <f t="shared" si="26"/>
        <v>14.583762168884277</v>
      </c>
      <c r="R100" s="131">
        <v>14.583762168884277</v>
      </c>
      <c r="S100" s="131">
        <v>0</v>
      </c>
      <c r="T100" s="131">
        <v>0</v>
      </c>
      <c r="U100" s="127" t="s">
        <v>23</v>
      </c>
      <c r="V100" s="131">
        <v>0</v>
      </c>
      <c r="W100" s="192"/>
      <c r="X100" s="192"/>
      <c r="Y100" s="193"/>
      <c r="Z100" s="96">
        <f t="shared" si="21"/>
        <v>0</v>
      </c>
    </row>
    <row r="101" spans="1:26" s="55" customFormat="1" x14ac:dyDescent="0.2">
      <c r="A101" s="51"/>
      <c r="B101" s="167"/>
      <c r="C101" s="169"/>
      <c r="D101" s="41" t="s">
        <v>42</v>
      </c>
      <c r="E101" s="134">
        <v>157.39999389648438</v>
      </c>
      <c r="F101" s="119">
        <v>68.800003051757813</v>
      </c>
      <c r="G101" s="119">
        <f t="shared" si="24"/>
        <v>88.599990844726563</v>
      </c>
      <c r="H101" s="119">
        <v>0</v>
      </c>
      <c r="I101" s="135">
        <v>0</v>
      </c>
      <c r="J101" s="135">
        <v>0</v>
      </c>
      <c r="K101" s="135">
        <v>0</v>
      </c>
      <c r="L101" s="135">
        <v>0</v>
      </c>
      <c r="M101" s="135">
        <v>0</v>
      </c>
      <c r="N101" s="135">
        <v>0</v>
      </c>
      <c r="O101" s="119">
        <v>0</v>
      </c>
      <c r="P101" s="119">
        <v>0</v>
      </c>
      <c r="Q101" s="135">
        <f t="shared" si="26"/>
        <v>88.599998474121094</v>
      </c>
      <c r="R101" s="135">
        <v>88.599998474121094</v>
      </c>
      <c r="S101" s="119">
        <v>0</v>
      </c>
      <c r="T101" s="119">
        <v>0</v>
      </c>
      <c r="U101" s="130" t="s">
        <v>23</v>
      </c>
      <c r="V101" s="135">
        <v>0</v>
      </c>
      <c r="W101" s="192"/>
      <c r="X101" s="192"/>
      <c r="Y101" s="193"/>
      <c r="Z101" s="96">
        <f t="shared" si="21"/>
        <v>-7.62939453125E-6</v>
      </c>
    </row>
    <row r="102" spans="1:26" x14ac:dyDescent="0.2">
      <c r="B102" s="167"/>
      <c r="C102" s="169"/>
      <c r="D102" s="39" t="s">
        <v>17</v>
      </c>
      <c r="E102" s="116">
        <f>SUM(E103:E106)</f>
        <v>9088.4000244140625</v>
      </c>
      <c r="F102" s="117">
        <f>SUM(F103:F106)</f>
        <v>1859.4150000000002</v>
      </c>
      <c r="G102" s="117">
        <f t="shared" si="24"/>
        <v>7228.9850244140625</v>
      </c>
      <c r="H102" s="117">
        <f>SUM(H103:H106)</f>
        <v>700.8</v>
      </c>
      <c r="I102" s="117">
        <f>SUM(I103:I106)</f>
        <v>233.6</v>
      </c>
      <c r="J102" s="117" t="s">
        <v>23</v>
      </c>
      <c r="K102" s="117">
        <f>SUM(K103:K106)</f>
        <v>467.2</v>
      </c>
      <c r="L102" s="131">
        <f>SUM(L103:L106)</f>
        <v>0</v>
      </c>
      <c r="M102" s="117">
        <f>SUM(M103:M106)</f>
        <v>0</v>
      </c>
      <c r="N102" s="117">
        <f>SUM(N103:N105)</f>
        <v>0</v>
      </c>
      <c r="O102" s="117">
        <f>SUM(O103:O106)</f>
        <v>0</v>
      </c>
      <c r="P102" s="117">
        <f>SUM(P103:P106)</f>
        <v>0</v>
      </c>
      <c r="Q102" s="117">
        <f>SUM(R102:U102)</f>
        <v>6528.1854194260068</v>
      </c>
      <c r="R102" s="117">
        <f>SUM(R103:R106)</f>
        <v>5641.1427783966064</v>
      </c>
      <c r="S102" s="139" t="s">
        <v>23</v>
      </c>
      <c r="T102" s="117" t="s">
        <v>23</v>
      </c>
      <c r="U102" s="118">
        <f>SUM(U103:U106)</f>
        <v>887.04264102939999</v>
      </c>
      <c r="V102" s="117">
        <f>SUM(V103:V106)</f>
        <v>0</v>
      </c>
      <c r="W102" s="192"/>
      <c r="X102" s="192"/>
      <c r="Y102" s="193"/>
      <c r="Z102" s="96">
        <f t="shared" si="21"/>
        <v>-3.9501194441982079E-4</v>
      </c>
    </row>
    <row r="103" spans="1:26" ht="12.75" customHeight="1" x14ac:dyDescent="0.2">
      <c r="B103" s="167"/>
      <c r="C103" s="169"/>
      <c r="D103" s="42" t="s">
        <v>101</v>
      </c>
      <c r="E103" s="132">
        <v>662.4000244140625</v>
      </c>
      <c r="F103" s="114">
        <f>0+330.502</f>
        <v>330.50200000000001</v>
      </c>
      <c r="G103" s="114">
        <f t="shared" si="24"/>
        <v>331.89802441406249</v>
      </c>
      <c r="H103" s="113">
        <f>I103+K103+L103</f>
        <v>0</v>
      </c>
      <c r="I103" s="113">
        <v>0</v>
      </c>
      <c r="J103" s="113" t="s">
        <v>23</v>
      </c>
      <c r="K103" s="113">
        <v>0</v>
      </c>
      <c r="L103" s="124">
        <v>0</v>
      </c>
      <c r="M103" s="114">
        <v>0</v>
      </c>
      <c r="N103" s="114">
        <v>0</v>
      </c>
      <c r="O103" s="114">
        <v>0</v>
      </c>
      <c r="P103" s="114">
        <v>0</v>
      </c>
      <c r="Q103" s="114">
        <f>SUM(R103:U103)</f>
        <v>331.89800048828124</v>
      </c>
      <c r="R103" s="114">
        <v>331.88800048828125</v>
      </c>
      <c r="S103" s="113" t="s">
        <v>23</v>
      </c>
      <c r="T103" s="113" t="s">
        <v>23</v>
      </c>
      <c r="U103" s="133">
        <v>0.01</v>
      </c>
      <c r="V103" s="114">
        <v>0</v>
      </c>
      <c r="W103" s="192"/>
      <c r="X103" s="192"/>
      <c r="Y103" s="193"/>
      <c r="Z103" s="96">
        <f t="shared" si="21"/>
        <v>2.3925781249545253E-5</v>
      </c>
    </row>
    <row r="104" spans="1:26" x14ac:dyDescent="0.2">
      <c r="B104" s="167"/>
      <c r="C104" s="169"/>
      <c r="D104" s="41" t="s">
        <v>102</v>
      </c>
      <c r="E104" s="119">
        <v>4500</v>
      </c>
      <c r="F104" s="120">
        <f>110.4+0</f>
        <v>110.4</v>
      </c>
      <c r="G104" s="120">
        <f t="shared" si="24"/>
        <v>4389.6000000000004</v>
      </c>
      <c r="H104" s="117">
        <f>I104+K104+L104</f>
        <v>700.8</v>
      </c>
      <c r="I104" s="117">
        <v>233.6</v>
      </c>
      <c r="J104" s="117" t="s">
        <v>23</v>
      </c>
      <c r="K104" s="117">
        <v>467.2</v>
      </c>
      <c r="L104" s="135">
        <v>0</v>
      </c>
      <c r="M104" s="120">
        <v>0</v>
      </c>
      <c r="N104" s="120">
        <v>0</v>
      </c>
      <c r="O104" s="120">
        <v>0</v>
      </c>
      <c r="P104" s="120">
        <v>0</v>
      </c>
      <c r="Q104" s="120">
        <f>SUM(R104:U104)</f>
        <v>3688.8000000000502</v>
      </c>
      <c r="R104" s="120">
        <v>2821.96630859375</v>
      </c>
      <c r="S104" s="117" t="s">
        <v>23</v>
      </c>
      <c r="T104" s="117" t="s">
        <v>23</v>
      </c>
      <c r="U104" s="122">
        <v>866.83369140629998</v>
      </c>
      <c r="V104" s="120">
        <v>0</v>
      </c>
      <c r="W104" s="192"/>
      <c r="X104" s="192"/>
      <c r="Y104" s="193"/>
      <c r="Z104" s="96">
        <f t="shared" si="21"/>
        <v>-5.0022208597511053E-11</v>
      </c>
    </row>
    <row r="105" spans="1:26" x14ac:dyDescent="0.2">
      <c r="B105" s="167"/>
      <c r="C105" s="169"/>
      <c r="D105" s="41" t="s">
        <v>103</v>
      </c>
      <c r="E105" s="119">
        <v>3840</v>
      </c>
      <c r="F105" s="120">
        <f>0+1344.034</f>
        <v>1344.0340000000001</v>
      </c>
      <c r="G105" s="120">
        <f t="shared" si="24"/>
        <v>2495.9659999999999</v>
      </c>
      <c r="H105" s="117">
        <f>I105+K105+L105</f>
        <v>0</v>
      </c>
      <c r="I105" s="117">
        <v>0</v>
      </c>
      <c r="J105" s="117" t="s">
        <v>23</v>
      </c>
      <c r="K105" s="117">
        <v>0</v>
      </c>
      <c r="L105" s="135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f>SUM(R105:U105)</f>
        <v>2495.9662836074749</v>
      </c>
      <c r="R105" s="120">
        <v>2475.767333984375</v>
      </c>
      <c r="S105" s="117" t="s">
        <v>23</v>
      </c>
      <c r="T105" s="117" t="s">
        <v>23</v>
      </c>
      <c r="U105" s="122">
        <v>20.198949623099999</v>
      </c>
      <c r="V105" s="120">
        <v>0</v>
      </c>
      <c r="W105" s="192"/>
      <c r="X105" s="192"/>
      <c r="Y105" s="193"/>
      <c r="Z105" s="96">
        <f t="shared" si="21"/>
        <v>-2.8360747501210426E-4</v>
      </c>
    </row>
    <row r="106" spans="1:26" ht="13.5" thickBot="1" x14ac:dyDescent="0.25">
      <c r="B106" s="167"/>
      <c r="C106" s="169"/>
      <c r="D106" s="80" t="s">
        <v>104</v>
      </c>
      <c r="E106" s="119">
        <v>86</v>
      </c>
      <c r="F106" s="120">
        <f>0+74.479</f>
        <v>74.478999999999999</v>
      </c>
      <c r="G106" s="120">
        <f t="shared" si="24"/>
        <v>11.521000000000001</v>
      </c>
      <c r="H106" s="120">
        <f>I106+K106+L106</f>
        <v>0</v>
      </c>
      <c r="I106" s="120">
        <v>0</v>
      </c>
      <c r="J106" s="120" t="s">
        <v>23</v>
      </c>
      <c r="K106" s="120">
        <v>0</v>
      </c>
      <c r="L106" s="120">
        <v>0</v>
      </c>
      <c r="M106" s="120">
        <v>0</v>
      </c>
      <c r="N106" s="120">
        <v>0</v>
      </c>
      <c r="O106" s="120">
        <v>0</v>
      </c>
      <c r="P106" s="120">
        <v>0</v>
      </c>
      <c r="Q106" s="120">
        <f>SUM(R106:U106)</f>
        <v>11.521135330200195</v>
      </c>
      <c r="R106" s="120">
        <v>11.521135330200195</v>
      </c>
      <c r="S106" s="120" t="s">
        <v>23</v>
      </c>
      <c r="T106" s="120" t="s">
        <v>23</v>
      </c>
      <c r="U106" s="122">
        <v>0</v>
      </c>
      <c r="V106" s="140">
        <v>0</v>
      </c>
      <c r="W106" s="192"/>
      <c r="X106" s="192"/>
      <c r="Y106" s="193"/>
      <c r="Z106" s="96">
        <f t="shared" si="21"/>
        <v>-1.3533020019451669E-4</v>
      </c>
    </row>
    <row r="107" spans="1:26" ht="13.5" thickBot="1" x14ac:dyDescent="0.25">
      <c r="B107" s="74" t="s">
        <v>157</v>
      </c>
      <c r="C107" s="75">
        <v>43859.208333333336</v>
      </c>
      <c r="D107" s="77"/>
      <c r="E107" s="109">
        <f>SUM(E108:E115)</f>
        <v>1444.7700042724609</v>
      </c>
      <c r="F107" s="109">
        <f>SUM(F108:F115)</f>
        <v>85.888000011444092</v>
      </c>
      <c r="G107" s="110">
        <f>SUM(G108:G111)</f>
        <v>1358.8820042610168</v>
      </c>
      <c r="H107" s="111">
        <f t="shared" ref="H107:N107" si="27">SUM(H108:H110)</f>
        <v>170</v>
      </c>
      <c r="I107" s="111">
        <f t="shared" si="27"/>
        <v>170</v>
      </c>
      <c r="J107" s="111">
        <f t="shared" si="27"/>
        <v>0</v>
      </c>
      <c r="K107" s="111">
        <f t="shared" si="27"/>
        <v>0</v>
      </c>
      <c r="L107" s="110">
        <f t="shared" si="27"/>
        <v>0</v>
      </c>
      <c r="M107" s="111">
        <f t="shared" si="27"/>
        <v>0</v>
      </c>
      <c r="N107" s="111">
        <f t="shared" si="27"/>
        <v>0</v>
      </c>
      <c r="O107" s="111">
        <f>SUM(O108:O111)</f>
        <v>0</v>
      </c>
      <c r="P107" s="111">
        <f>SUM(P108:P111)</f>
        <v>0</v>
      </c>
      <c r="Q107" s="111">
        <f>SUM(Q108:Q115)</f>
        <v>1188.8820009231567</v>
      </c>
      <c r="R107" s="111">
        <f>SUM(R108:R115)</f>
        <v>653.10318946838379</v>
      </c>
      <c r="S107" s="111">
        <f>SUM(S108:S110)</f>
        <v>135.77881145477295</v>
      </c>
      <c r="T107" s="111">
        <f>SUM(T108:T111)</f>
        <v>400</v>
      </c>
      <c r="U107" s="110" t="s">
        <v>23</v>
      </c>
      <c r="V107" s="110">
        <f>SUM(V108:V115)</f>
        <v>0</v>
      </c>
      <c r="W107" s="16">
        <v>749.1932373046875</v>
      </c>
      <c r="X107" s="16">
        <v>844.81982421875</v>
      </c>
      <c r="Y107" s="17">
        <v>18168.630004882813</v>
      </c>
      <c r="Z107" s="96">
        <f t="shared" si="21"/>
        <v>3.337860107421875E-6</v>
      </c>
    </row>
    <row r="108" spans="1:26" x14ac:dyDescent="0.2">
      <c r="B108" s="160"/>
      <c r="C108" s="168"/>
      <c r="D108" s="78" t="s">
        <v>105</v>
      </c>
      <c r="E108" s="112">
        <v>1190</v>
      </c>
      <c r="F108" s="113">
        <v>0</v>
      </c>
      <c r="G108" s="113">
        <f t="shared" ref="G108:G115" si="28">SUM(E108)-SUM(F108)+V108</f>
        <v>1190</v>
      </c>
      <c r="H108" s="113">
        <v>170</v>
      </c>
      <c r="I108" s="113">
        <v>170</v>
      </c>
      <c r="J108" s="113">
        <v>0</v>
      </c>
      <c r="K108" s="113">
        <v>0</v>
      </c>
      <c r="L108" s="126">
        <v>0</v>
      </c>
      <c r="M108" s="113">
        <v>0</v>
      </c>
      <c r="N108" s="113">
        <v>0</v>
      </c>
      <c r="O108" s="113">
        <v>0</v>
      </c>
      <c r="P108" s="113">
        <v>0</v>
      </c>
      <c r="Q108" s="113">
        <f>SUM(R108:T108)</f>
        <v>1020</v>
      </c>
      <c r="R108" s="113">
        <v>493.375</v>
      </c>
      <c r="S108" s="113">
        <v>126.625</v>
      </c>
      <c r="T108" s="113">
        <v>400</v>
      </c>
      <c r="U108" s="115" t="s">
        <v>23</v>
      </c>
      <c r="V108" s="113">
        <v>0</v>
      </c>
      <c r="W108" s="192"/>
      <c r="X108" s="192"/>
      <c r="Y108" s="193"/>
      <c r="Z108" s="96">
        <f t="shared" si="21"/>
        <v>0</v>
      </c>
    </row>
    <row r="109" spans="1:26" x14ac:dyDescent="0.2">
      <c r="B109" s="160"/>
      <c r="C109" s="169"/>
      <c r="D109" s="39" t="s">
        <v>106</v>
      </c>
      <c r="E109" s="116">
        <v>148.77000427246094</v>
      </c>
      <c r="F109" s="117">
        <v>3.5999999046325684</v>
      </c>
      <c r="G109" s="117">
        <f t="shared" si="28"/>
        <v>145.17000436782837</v>
      </c>
      <c r="H109" s="117">
        <v>0</v>
      </c>
      <c r="I109" s="117">
        <v>0</v>
      </c>
      <c r="J109" s="117">
        <v>0</v>
      </c>
      <c r="K109" s="117">
        <v>0</v>
      </c>
      <c r="L109" s="131">
        <v>0</v>
      </c>
      <c r="M109" s="117">
        <v>0</v>
      </c>
      <c r="N109" s="117">
        <v>0</v>
      </c>
      <c r="O109" s="117">
        <v>0</v>
      </c>
      <c r="P109" s="117">
        <v>0</v>
      </c>
      <c r="Q109" s="117">
        <f>SUM(R109:T109)</f>
        <v>145.17000102996826</v>
      </c>
      <c r="R109" s="117">
        <v>136.01618957519531</v>
      </c>
      <c r="S109" s="117">
        <v>9.1538114547729492</v>
      </c>
      <c r="T109" s="117">
        <v>0</v>
      </c>
      <c r="U109" s="118" t="s">
        <v>23</v>
      </c>
      <c r="V109" s="117">
        <v>0</v>
      </c>
      <c r="W109" s="192"/>
      <c r="X109" s="192"/>
      <c r="Y109" s="193"/>
      <c r="Z109" s="96">
        <f t="shared" si="21"/>
        <v>3.337860107421875E-6</v>
      </c>
    </row>
    <row r="110" spans="1:26" x14ac:dyDescent="0.2">
      <c r="B110" s="160"/>
      <c r="C110" s="169"/>
      <c r="D110" s="39" t="s">
        <v>19</v>
      </c>
      <c r="E110" s="116">
        <v>36</v>
      </c>
      <c r="F110" s="117">
        <v>12.288000106811523</v>
      </c>
      <c r="G110" s="117">
        <f t="shared" si="28"/>
        <v>23.711999893188477</v>
      </c>
      <c r="H110" s="117">
        <v>0</v>
      </c>
      <c r="I110" s="117">
        <v>0</v>
      </c>
      <c r="J110" s="117">
        <v>0</v>
      </c>
      <c r="K110" s="117">
        <v>0</v>
      </c>
      <c r="L110" s="131">
        <v>0</v>
      </c>
      <c r="M110" s="117">
        <v>0</v>
      </c>
      <c r="N110" s="117">
        <v>0</v>
      </c>
      <c r="O110" s="117">
        <v>0</v>
      </c>
      <c r="P110" s="117">
        <v>0</v>
      </c>
      <c r="Q110" s="117">
        <f>SUM(R110:T110)</f>
        <v>23.711999893188477</v>
      </c>
      <c r="R110" s="117">
        <v>23.711999893188477</v>
      </c>
      <c r="S110" s="117">
        <v>0</v>
      </c>
      <c r="T110" s="117">
        <v>0</v>
      </c>
      <c r="U110" s="118" t="s">
        <v>23</v>
      </c>
      <c r="V110" s="117">
        <v>0</v>
      </c>
      <c r="W110" s="192"/>
      <c r="X110" s="192"/>
      <c r="Y110" s="193"/>
      <c r="Z110" s="96">
        <f t="shared" si="21"/>
        <v>0</v>
      </c>
    </row>
    <row r="111" spans="1:26" x14ac:dyDescent="0.2">
      <c r="B111" s="167"/>
      <c r="C111" s="169"/>
      <c r="D111" s="89" t="s">
        <v>142</v>
      </c>
      <c r="E111" s="119">
        <v>10</v>
      </c>
      <c r="F111" s="119">
        <v>10</v>
      </c>
      <c r="G111" s="119">
        <f t="shared" si="28"/>
        <v>0</v>
      </c>
      <c r="H111" s="119"/>
      <c r="I111" s="127"/>
      <c r="J111" s="127"/>
      <c r="K111" s="127"/>
      <c r="L111" s="127"/>
      <c r="M111" s="117"/>
      <c r="N111" s="120"/>
      <c r="O111" s="119"/>
      <c r="P111" s="119"/>
      <c r="Q111" s="120">
        <f>SUM(R111)</f>
        <v>0</v>
      </c>
      <c r="R111" s="119">
        <v>0</v>
      </c>
      <c r="S111" s="119"/>
      <c r="T111" s="119"/>
      <c r="U111" s="118" t="s">
        <v>23</v>
      </c>
      <c r="V111" s="113">
        <v>0</v>
      </c>
      <c r="W111" s="192"/>
      <c r="X111" s="192"/>
      <c r="Y111" s="193"/>
      <c r="Z111" s="96">
        <f t="shared" si="21"/>
        <v>0</v>
      </c>
    </row>
    <row r="112" spans="1:26" s="84" customFormat="1" x14ac:dyDescent="0.2">
      <c r="A112" s="51"/>
      <c r="B112" s="105"/>
      <c r="C112" s="106"/>
      <c r="D112" s="89" t="s">
        <v>161</v>
      </c>
      <c r="E112" s="119">
        <v>15</v>
      </c>
      <c r="F112" s="119">
        <v>15</v>
      </c>
      <c r="G112" s="119">
        <f t="shared" si="28"/>
        <v>0</v>
      </c>
      <c r="H112" s="119"/>
      <c r="I112" s="118"/>
      <c r="J112" s="118"/>
      <c r="K112" s="118"/>
      <c r="L112" s="127"/>
      <c r="M112" s="117"/>
      <c r="N112" s="120"/>
      <c r="O112" s="119"/>
      <c r="P112" s="119"/>
      <c r="Q112" s="120">
        <f>SUM(R112)</f>
        <v>0</v>
      </c>
      <c r="R112" s="119">
        <v>0</v>
      </c>
      <c r="S112" s="119"/>
      <c r="T112" s="119"/>
      <c r="U112" s="118" t="s">
        <v>23</v>
      </c>
      <c r="V112" s="113">
        <v>0</v>
      </c>
      <c r="W112" s="107"/>
      <c r="X112" s="107"/>
      <c r="Y112" s="108"/>
      <c r="Z112" s="96"/>
    </row>
    <row r="113" spans="1:26" s="84" customFormat="1" x14ac:dyDescent="0.2">
      <c r="A113" s="51"/>
      <c r="B113" s="105"/>
      <c r="C113" s="106"/>
      <c r="D113" s="89" t="s">
        <v>162</v>
      </c>
      <c r="E113" s="119">
        <v>15</v>
      </c>
      <c r="F113" s="119">
        <v>15</v>
      </c>
      <c r="G113" s="119">
        <f t="shared" si="28"/>
        <v>0</v>
      </c>
      <c r="H113" s="119"/>
      <c r="I113" s="118"/>
      <c r="J113" s="118"/>
      <c r="K113" s="118"/>
      <c r="L113" s="127"/>
      <c r="M113" s="117"/>
      <c r="N113" s="120"/>
      <c r="O113" s="119"/>
      <c r="P113" s="119"/>
      <c r="Q113" s="120">
        <f>SUM(R113)</f>
        <v>0</v>
      </c>
      <c r="R113" s="119">
        <v>0</v>
      </c>
      <c r="S113" s="119"/>
      <c r="T113" s="119"/>
      <c r="U113" s="118" t="s">
        <v>23</v>
      </c>
      <c r="V113" s="113">
        <v>0</v>
      </c>
      <c r="W113" s="107"/>
      <c r="X113" s="107"/>
      <c r="Y113" s="108"/>
      <c r="Z113" s="96"/>
    </row>
    <row r="114" spans="1:26" s="84" customFormat="1" x14ac:dyDescent="0.2">
      <c r="A114" s="51"/>
      <c r="B114" s="105"/>
      <c r="C114" s="106"/>
      <c r="D114" s="89" t="s">
        <v>163</v>
      </c>
      <c r="E114" s="119">
        <v>15</v>
      </c>
      <c r="F114" s="119">
        <v>15</v>
      </c>
      <c r="G114" s="119">
        <f t="shared" si="28"/>
        <v>0</v>
      </c>
      <c r="H114" s="119"/>
      <c r="I114" s="118"/>
      <c r="J114" s="118"/>
      <c r="K114" s="118"/>
      <c r="L114" s="127"/>
      <c r="M114" s="117"/>
      <c r="N114" s="120"/>
      <c r="O114" s="119"/>
      <c r="P114" s="119"/>
      <c r="Q114" s="120">
        <f>SUM(R114)</f>
        <v>0</v>
      </c>
      <c r="R114" s="119">
        <v>0</v>
      </c>
      <c r="S114" s="119"/>
      <c r="T114" s="119"/>
      <c r="U114" s="118" t="s">
        <v>23</v>
      </c>
      <c r="V114" s="113">
        <v>0</v>
      </c>
      <c r="W114" s="107"/>
      <c r="X114" s="107"/>
      <c r="Y114" s="108"/>
      <c r="Z114" s="96"/>
    </row>
    <row r="115" spans="1:26" s="84" customFormat="1" ht="13.5" thickBot="1" x14ac:dyDescent="0.25">
      <c r="A115" s="51"/>
      <c r="B115" s="105"/>
      <c r="C115" s="106"/>
      <c r="D115" s="89" t="s">
        <v>164</v>
      </c>
      <c r="E115" s="119">
        <v>15</v>
      </c>
      <c r="F115" s="119">
        <v>15</v>
      </c>
      <c r="G115" s="119">
        <f t="shared" si="28"/>
        <v>0</v>
      </c>
      <c r="H115" s="119"/>
      <c r="I115" s="127"/>
      <c r="J115" s="127"/>
      <c r="K115" s="127"/>
      <c r="L115" s="127"/>
      <c r="M115" s="117"/>
      <c r="N115" s="120"/>
      <c r="O115" s="119"/>
      <c r="P115" s="119"/>
      <c r="Q115" s="120">
        <f>SUM(R115)</f>
        <v>0</v>
      </c>
      <c r="R115" s="119">
        <v>0</v>
      </c>
      <c r="S115" s="119"/>
      <c r="T115" s="119"/>
      <c r="U115" s="118" t="s">
        <v>23</v>
      </c>
      <c r="V115" s="113">
        <v>0</v>
      </c>
      <c r="W115" s="107"/>
      <c r="X115" s="107"/>
      <c r="Y115" s="108"/>
      <c r="Z115" s="96"/>
    </row>
    <row r="116" spans="1:26" ht="13.5" thickBot="1" x14ac:dyDescent="0.25">
      <c r="B116" s="74" t="s">
        <v>158</v>
      </c>
      <c r="C116" s="75">
        <v>43859.625</v>
      </c>
      <c r="D116" s="77"/>
      <c r="E116" s="111">
        <f t="shared" ref="E116:T116" si="29">SUM(E117:E124)</f>
        <v>1623.7999877929688</v>
      </c>
      <c r="F116" s="111">
        <f t="shared" si="29"/>
        <v>113.94914150238037</v>
      </c>
      <c r="G116" s="111">
        <f t="shared" si="29"/>
        <v>1509.8538462906145</v>
      </c>
      <c r="H116" s="111">
        <f t="shared" si="29"/>
        <v>68.5</v>
      </c>
      <c r="I116" s="111">
        <f t="shared" si="29"/>
        <v>60</v>
      </c>
      <c r="J116" s="111">
        <f t="shared" si="29"/>
        <v>0</v>
      </c>
      <c r="K116" s="111">
        <f t="shared" si="29"/>
        <v>8.5</v>
      </c>
      <c r="L116" s="111">
        <f t="shared" si="29"/>
        <v>0</v>
      </c>
      <c r="M116" s="111">
        <f t="shared" si="29"/>
        <v>0</v>
      </c>
      <c r="N116" s="111">
        <f t="shared" si="29"/>
        <v>0</v>
      </c>
      <c r="O116" s="111">
        <f t="shared" si="29"/>
        <v>0</v>
      </c>
      <c r="P116" s="111">
        <f t="shared" si="29"/>
        <v>35</v>
      </c>
      <c r="Q116" s="111">
        <f t="shared" si="29"/>
        <v>1406.3538670539856</v>
      </c>
      <c r="R116" s="111">
        <f t="shared" si="29"/>
        <v>956.7523832321167</v>
      </c>
      <c r="S116" s="111">
        <f t="shared" si="29"/>
        <v>332.60147857666016</v>
      </c>
      <c r="T116" s="111">
        <f t="shared" si="29"/>
        <v>117.0000114440918</v>
      </c>
      <c r="U116" s="110" t="s">
        <v>23</v>
      </c>
      <c r="V116" s="111">
        <f>SUM(V117:V124)</f>
        <v>3.0000000260770321E-3</v>
      </c>
      <c r="W116" s="23">
        <v>1075.6427001953125</v>
      </c>
      <c r="X116" s="16">
        <v>1153.1490478515625</v>
      </c>
      <c r="Y116" s="17">
        <v>25547.213714599609</v>
      </c>
      <c r="Z116" s="96">
        <f t="shared" ref="Z116:Z121" si="30">E116-F116-H116-M116-N116-O116-P116-Q116+V116</f>
        <v>-2.0763371139764786E-5</v>
      </c>
    </row>
    <row r="117" spans="1:26" x14ac:dyDescent="0.2">
      <c r="B117" s="159"/>
      <c r="C117" s="168"/>
      <c r="D117" s="79" t="s">
        <v>107</v>
      </c>
      <c r="E117" s="112">
        <v>452.79998779296875</v>
      </c>
      <c r="F117" s="113">
        <v>0</v>
      </c>
      <c r="G117" s="113">
        <f t="shared" ref="G117:G126" si="31">SUM(E117)-SUM(F117)+V117</f>
        <v>452.79998779296875</v>
      </c>
      <c r="H117" s="113">
        <v>0</v>
      </c>
      <c r="I117" s="113">
        <v>0</v>
      </c>
      <c r="J117" s="113">
        <v>0</v>
      </c>
      <c r="K117" s="113">
        <v>0</v>
      </c>
      <c r="L117" s="126">
        <v>0</v>
      </c>
      <c r="M117" s="113">
        <v>0</v>
      </c>
      <c r="N117" s="113">
        <v>0</v>
      </c>
      <c r="O117" s="113">
        <v>0</v>
      </c>
      <c r="P117" s="113">
        <v>25</v>
      </c>
      <c r="Q117" s="113">
        <f>SUM(R117:T117)</f>
        <v>427.80000686645508</v>
      </c>
      <c r="R117" s="113">
        <v>261.47866821289063</v>
      </c>
      <c r="S117" s="113">
        <v>104.32132720947266</v>
      </c>
      <c r="T117" s="113">
        <v>62.000011444091797</v>
      </c>
      <c r="U117" s="115" t="s">
        <v>23</v>
      </c>
      <c r="V117" s="113">
        <v>0</v>
      </c>
      <c r="W117" s="192"/>
      <c r="X117" s="192"/>
      <c r="Y117" s="193"/>
      <c r="Z117" s="96">
        <f t="shared" si="30"/>
        <v>-1.9073486328125E-5</v>
      </c>
    </row>
    <row r="118" spans="1:26" x14ac:dyDescent="0.2">
      <c r="B118" s="164"/>
      <c r="C118" s="169"/>
      <c r="D118" s="40" t="s">
        <v>108</v>
      </c>
      <c r="E118" s="116">
        <v>24</v>
      </c>
      <c r="F118" s="117">
        <v>5.2026500701904297</v>
      </c>
      <c r="G118" s="117">
        <f t="shared" si="31"/>
        <v>18.79734992980957</v>
      </c>
      <c r="H118" s="117">
        <v>8.5</v>
      </c>
      <c r="I118" s="117">
        <v>0</v>
      </c>
      <c r="J118" s="117">
        <v>0</v>
      </c>
      <c r="K118" s="117">
        <v>8.5</v>
      </c>
      <c r="L118" s="131">
        <v>0</v>
      </c>
      <c r="M118" s="117">
        <v>0</v>
      </c>
      <c r="N118" s="117">
        <v>0</v>
      </c>
      <c r="O118" s="117">
        <v>0</v>
      </c>
      <c r="P118" s="117">
        <v>0</v>
      </c>
      <c r="Q118" s="117">
        <f>SUM(R118:T118)</f>
        <v>10.29734992980957</v>
      </c>
      <c r="R118" s="117">
        <v>10.29734992980957</v>
      </c>
      <c r="S118" s="117">
        <v>0</v>
      </c>
      <c r="T118" s="117">
        <v>0</v>
      </c>
      <c r="U118" s="118" t="s">
        <v>23</v>
      </c>
      <c r="V118" s="117">
        <v>0</v>
      </c>
      <c r="W118" s="192"/>
      <c r="X118" s="192"/>
      <c r="Y118" s="193"/>
      <c r="Z118" s="96">
        <f t="shared" si="30"/>
        <v>0</v>
      </c>
    </row>
    <row r="119" spans="1:26" x14ac:dyDescent="0.2">
      <c r="B119" s="164"/>
      <c r="C119" s="169"/>
      <c r="D119" s="40" t="s">
        <v>109</v>
      </c>
      <c r="E119" s="116">
        <v>12</v>
      </c>
      <c r="F119" s="117">
        <v>4.3464899063110352</v>
      </c>
      <c r="G119" s="117">
        <f t="shared" si="31"/>
        <v>7.6535100936889648</v>
      </c>
      <c r="H119" s="117">
        <v>0</v>
      </c>
      <c r="I119" s="117">
        <v>0</v>
      </c>
      <c r="J119" s="117">
        <v>0</v>
      </c>
      <c r="K119" s="117">
        <v>0</v>
      </c>
      <c r="L119" s="131">
        <v>0</v>
      </c>
      <c r="M119" s="117">
        <v>0</v>
      </c>
      <c r="N119" s="117">
        <v>0</v>
      </c>
      <c r="O119" s="117">
        <v>0</v>
      </c>
      <c r="P119" s="117">
        <v>0</v>
      </c>
      <c r="Q119" s="117">
        <f>SUM(R119:T119)</f>
        <v>7.6535100936889648</v>
      </c>
      <c r="R119" s="117">
        <v>7.6535100936889648</v>
      </c>
      <c r="S119" s="117">
        <v>0</v>
      </c>
      <c r="T119" s="117">
        <v>0</v>
      </c>
      <c r="U119" s="118" t="s">
        <v>23</v>
      </c>
      <c r="V119" s="117">
        <v>0</v>
      </c>
      <c r="W119" s="192"/>
      <c r="X119" s="192"/>
      <c r="Y119" s="193"/>
      <c r="Z119" s="96">
        <f t="shared" si="30"/>
        <v>0</v>
      </c>
    </row>
    <row r="120" spans="1:26" x14ac:dyDescent="0.2">
      <c r="B120" s="164"/>
      <c r="C120" s="169"/>
      <c r="D120" s="40" t="s">
        <v>110</v>
      </c>
      <c r="E120" s="116">
        <v>12</v>
      </c>
      <c r="F120" s="117">
        <v>0</v>
      </c>
      <c r="G120" s="117">
        <f t="shared" si="31"/>
        <v>12.003000000026077</v>
      </c>
      <c r="H120" s="117">
        <v>0</v>
      </c>
      <c r="I120" s="117">
        <v>0</v>
      </c>
      <c r="J120" s="117">
        <v>0</v>
      </c>
      <c r="K120" s="117">
        <v>0</v>
      </c>
      <c r="L120" s="131">
        <v>0</v>
      </c>
      <c r="M120" s="117">
        <v>0</v>
      </c>
      <c r="N120" s="117">
        <v>0</v>
      </c>
      <c r="O120" s="117">
        <v>0</v>
      </c>
      <c r="P120" s="117">
        <v>0</v>
      </c>
      <c r="Q120" s="117">
        <f>SUM(R120:T120)</f>
        <v>12.003000259399414</v>
      </c>
      <c r="R120" s="117">
        <v>12.003000259399414</v>
      </c>
      <c r="S120" s="117">
        <v>0</v>
      </c>
      <c r="T120" s="117">
        <v>0</v>
      </c>
      <c r="U120" s="118" t="s">
        <v>23</v>
      </c>
      <c r="V120" s="117">
        <v>3.0000000260770321E-3</v>
      </c>
      <c r="W120" s="192"/>
      <c r="X120" s="192"/>
      <c r="Y120" s="193"/>
      <c r="Z120" s="96">
        <f t="shared" si="30"/>
        <v>-2.5937333703041077E-7</v>
      </c>
    </row>
    <row r="121" spans="1:26" x14ac:dyDescent="0.2">
      <c r="B121" s="164"/>
      <c r="C121" s="169"/>
      <c r="D121" s="40" t="s">
        <v>111</v>
      </c>
      <c r="E121" s="116">
        <v>665</v>
      </c>
      <c r="F121" s="117">
        <v>0</v>
      </c>
      <c r="G121" s="117">
        <f t="shared" si="31"/>
        <v>665</v>
      </c>
      <c r="H121" s="117">
        <v>0</v>
      </c>
      <c r="I121" s="117">
        <v>0</v>
      </c>
      <c r="J121" s="117">
        <v>0</v>
      </c>
      <c r="K121" s="117">
        <v>0</v>
      </c>
      <c r="L121" s="131">
        <v>0</v>
      </c>
      <c r="M121" s="117">
        <v>0</v>
      </c>
      <c r="N121" s="117">
        <v>0</v>
      </c>
      <c r="O121" s="117">
        <v>0</v>
      </c>
      <c r="P121" s="117">
        <v>0</v>
      </c>
      <c r="Q121" s="117">
        <f>SUM(R121:T121)</f>
        <v>665</v>
      </c>
      <c r="R121" s="117">
        <v>454.18600463867188</v>
      </c>
      <c r="S121" s="117">
        <v>210.81399536132813</v>
      </c>
      <c r="T121" s="117">
        <v>0</v>
      </c>
      <c r="U121" s="118" t="s">
        <v>23</v>
      </c>
      <c r="V121" s="117">
        <v>0</v>
      </c>
      <c r="W121" s="192"/>
      <c r="X121" s="192"/>
      <c r="Y121" s="193"/>
      <c r="Z121" s="96">
        <f t="shared" si="30"/>
        <v>0</v>
      </c>
    </row>
    <row r="122" spans="1:26" s="84" customFormat="1" x14ac:dyDescent="0.2">
      <c r="A122" s="51"/>
      <c r="B122" s="164"/>
      <c r="C122" s="169"/>
      <c r="D122" s="40" t="s">
        <v>165</v>
      </c>
      <c r="E122" s="116">
        <v>15</v>
      </c>
      <c r="F122" s="116">
        <v>15</v>
      </c>
      <c r="G122" s="117">
        <f t="shared" si="31"/>
        <v>0</v>
      </c>
      <c r="H122" s="141"/>
      <c r="I122" s="141"/>
      <c r="J122" s="141"/>
      <c r="K122" s="141"/>
      <c r="L122" s="141"/>
      <c r="M122" s="141"/>
      <c r="N122" s="141"/>
      <c r="O122" s="141"/>
      <c r="P122" s="141"/>
      <c r="Q122" s="117">
        <f>SUM(R122)</f>
        <v>0</v>
      </c>
      <c r="R122" s="117">
        <v>0</v>
      </c>
      <c r="S122" s="141"/>
      <c r="T122" s="141"/>
      <c r="U122" s="118" t="s">
        <v>23</v>
      </c>
      <c r="V122" s="117">
        <v>0</v>
      </c>
      <c r="W122" s="192"/>
      <c r="X122" s="192"/>
      <c r="Y122" s="193"/>
      <c r="Z122" s="96"/>
    </row>
    <row r="123" spans="1:26" s="84" customFormat="1" x14ac:dyDescent="0.2">
      <c r="A123" s="51"/>
      <c r="B123" s="164"/>
      <c r="C123" s="169"/>
      <c r="D123" s="40" t="s">
        <v>166</v>
      </c>
      <c r="E123" s="116">
        <v>15</v>
      </c>
      <c r="F123" s="116">
        <v>15</v>
      </c>
      <c r="G123" s="117">
        <f t="shared" si="31"/>
        <v>0</v>
      </c>
      <c r="H123" s="141"/>
      <c r="I123" s="141"/>
      <c r="J123" s="141"/>
      <c r="K123" s="141"/>
      <c r="L123" s="141"/>
      <c r="M123" s="141"/>
      <c r="N123" s="141"/>
      <c r="O123" s="141"/>
      <c r="P123" s="141"/>
      <c r="Q123" s="117">
        <f>SUM(R123)</f>
        <v>0</v>
      </c>
      <c r="R123" s="117">
        <v>0</v>
      </c>
      <c r="S123" s="141"/>
      <c r="T123" s="141"/>
      <c r="U123" s="118" t="s">
        <v>23</v>
      </c>
      <c r="V123" s="117">
        <v>0</v>
      </c>
      <c r="W123" s="192"/>
      <c r="X123" s="192"/>
      <c r="Y123" s="193"/>
      <c r="Z123" s="96"/>
    </row>
    <row r="124" spans="1:26" x14ac:dyDescent="0.2">
      <c r="B124" s="164"/>
      <c r="C124" s="169"/>
      <c r="D124" s="40" t="s">
        <v>43</v>
      </c>
      <c r="E124" s="116">
        <v>428</v>
      </c>
      <c r="F124" s="117">
        <v>74.400001525878906</v>
      </c>
      <c r="G124" s="116">
        <f t="shared" si="31"/>
        <v>353.59999847412109</v>
      </c>
      <c r="H124" s="116">
        <v>60</v>
      </c>
      <c r="I124" s="116">
        <v>60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  <c r="O124" s="116">
        <v>0</v>
      </c>
      <c r="P124" s="116">
        <v>10</v>
      </c>
      <c r="Q124" s="116">
        <f>SUM(Q125:Q126)</f>
        <v>283.59999990463257</v>
      </c>
      <c r="R124" s="116">
        <v>211.13385009765625</v>
      </c>
      <c r="S124" s="116">
        <v>17.466156005859375</v>
      </c>
      <c r="T124" s="116">
        <v>55</v>
      </c>
      <c r="U124" s="118"/>
      <c r="V124" s="117">
        <v>0</v>
      </c>
      <c r="W124" s="192"/>
      <c r="X124" s="192"/>
      <c r="Y124" s="193"/>
      <c r="Z124" s="96">
        <f t="shared" ref="Z124:Z143" si="32">E124-F124-H124-M124-N124-O124-P124-Q124+V124</f>
        <v>-1.430511474609375E-6</v>
      </c>
    </row>
    <row r="125" spans="1:26" x14ac:dyDescent="0.2">
      <c r="B125" s="164"/>
      <c r="C125" s="169"/>
      <c r="D125" s="40" t="s">
        <v>20</v>
      </c>
      <c r="E125" s="116">
        <v>410</v>
      </c>
      <c r="F125" s="117">
        <v>60</v>
      </c>
      <c r="G125" s="117">
        <f t="shared" si="31"/>
        <v>350</v>
      </c>
      <c r="H125" s="117">
        <v>60</v>
      </c>
      <c r="I125" s="117">
        <v>60</v>
      </c>
      <c r="J125" s="117">
        <v>0</v>
      </c>
      <c r="K125" s="117">
        <v>0</v>
      </c>
      <c r="L125" s="131">
        <v>0</v>
      </c>
      <c r="M125" s="117">
        <v>0</v>
      </c>
      <c r="N125" s="117">
        <v>0</v>
      </c>
      <c r="O125" s="117">
        <v>0</v>
      </c>
      <c r="P125" s="117">
        <v>10</v>
      </c>
      <c r="Q125" s="117">
        <f>SUM(R125:T125)</f>
        <v>280</v>
      </c>
      <c r="R125" s="117">
        <v>207.53384399414063</v>
      </c>
      <c r="S125" s="117">
        <v>17.466156005859375</v>
      </c>
      <c r="T125" s="117">
        <v>55</v>
      </c>
      <c r="U125" s="118" t="s">
        <v>23</v>
      </c>
      <c r="V125" s="117">
        <v>0</v>
      </c>
      <c r="W125" s="192"/>
      <c r="X125" s="192"/>
      <c r="Y125" s="193"/>
      <c r="Z125" s="96">
        <f t="shared" si="32"/>
        <v>0</v>
      </c>
    </row>
    <row r="126" spans="1:26" ht="13.5" thickBot="1" x14ac:dyDescent="0.25">
      <c r="B126" s="165"/>
      <c r="C126" s="170"/>
      <c r="D126" s="43" t="s">
        <v>112</v>
      </c>
      <c r="E126" s="142">
        <v>18</v>
      </c>
      <c r="F126" s="140">
        <v>14.399999618530273</v>
      </c>
      <c r="G126" s="140">
        <f t="shared" si="31"/>
        <v>3.6000003814697266</v>
      </c>
      <c r="H126" s="140">
        <v>0</v>
      </c>
      <c r="I126" s="140" t="s">
        <v>23</v>
      </c>
      <c r="J126" s="140" t="s">
        <v>23</v>
      </c>
      <c r="K126" s="140" t="s">
        <v>23</v>
      </c>
      <c r="L126" s="140" t="s">
        <v>23</v>
      </c>
      <c r="M126" s="140" t="s">
        <v>23</v>
      </c>
      <c r="N126" s="140">
        <v>0</v>
      </c>
      <c r="O126" s="140">
        <v>0</v>
      </c>
      <c r="P126" s="140">
        <v>0</v>
      </c>
      <c r="Q126" s="140">
        <f>SUM(R126:T126)</f>
        <v>3.5999999046325684</v>
      </c>
      <c r="R126" s="140">
        <v>3.5999999046325684</v>
      </c>
      <c r="S126" s="140" t="s">
        <v>23</v>
      </c>
      <c r="T126" s="140">
        <v>0</v>
      </c>
      <c r="U126" s="143" t="s">
        <v>23</v>
      </c>
      <c r="V126" s="140">
        <v>0</v>
      </c>
      <c r="W126" s="201"/>
      <c r="X126" s="201"/>
      <c r="Y126" s="202"/>
      <c r="Z126" s="96" t="e">
        <f t="shared" si="32"/>
        <v>#VALUE!</v>
      </c>
    </row>
    <row r="127" spans="1:26" ht="13.5" thickBot="1" x14ac:dyDescent="0.25">
      <c r="B127" s="5" t="s">
        <v>2</v>
      </c>
      <c r="C127" s="33"/>
      <c r="D127" s="15"/>
      <c r="E127" s="144">
        <f t="shared" ref="E127:T127" si="33">SUM(E4,E9,E17,E33,E48,E54,E61,E86,E107,E116,E84)</f>
        <v>52104.757036209106</v>
      </c>
      <c r="F127" s="145">
        <f t="shared" si="33"/>
        <v>11771.816452807903</v>
      </c>
      <c r="G127" s="145">
        <f t="shared" si="33"/>
        <v>40372.256841247276</v>
      </c>
      <c r="H127" s="146">
        <f t="shared" si="33"/>
        <v>2973.8789947509767</v>
      </c>
      <c r="I127" s="146">
        <f t="shared" si="33"/>
        <v>583.6</v>
      </c>
      <c r="J127" s="146">
        <f t="shared" si="33"/>
        <v>0</v>
      </c>
      <c r="K127" s="146">
        <f t="shared" si="33"/>
        <v>1121.2789947509766</v>
      </c>
      <c r="L127" s="145">
        <f t="shared" si="33"/>
        <v>1269</v>
      </c>
      <c r="M127" s="147">
        <f t="shared" si="33"/>
        <v>0</v>
      </c>
      <c r="N127" s="147">
        <f t="shared" si="33"/>
        <v>73.111000061035156</v>
      </c>
      <c r="O127" s="147">
        <f t="shared" si="33"/>
        <v>0</v>
      </c>
      <c r="P127" s="147">
        <f t="shared" si="33"/>
        <v>583.83835601806641</v>
      </c>
      <c r="Q127" s="147">
        <f t="shared" si="33"/>
        <v>36741.432028377109</v>
      </c>
      <c r="R127" s="147">
        <f t="shared" si="33"/>
        <v>27554.860487103462</v>
      </c>
      <c r="S127" s="147">
        <f t="shared" si="33"/>
        <v>1592.4127278923988</v>
      </c>
      <c r="T127" s="145">
        <f t="shared" si="33"/>
        <v>6169.9999914169312</v>
      </c>
      <c r="U127" s="148">
        <f>SUM(U9,U54,U61,U86)</f>
        <v>1424.1588281631998</v>
      </c>
      <c r="V127" s="149">
        <f>SUM(V4,V9,V17,V33,V48,V54,V61,V86,V107,V116,V84)</f>
        <v>39.316257846076041</v>
      </c>
      <c r="W127" s="22">
        <f>SUM(W4,W9,W17,W33,W48,W54,W61,W86,W107,W116,W84)</f>
        <v>27707.970397949219</v>
      </c>
      <c r="X127" s="14">
        <f>SUM(X4,X9,X17,X33,X48,X54,X61,X86,X107,X116,X84)</f>
        <v>28763.91389465332</v>
      </c>
      <c r="Y127" s="17">
        <f>SUM(Y4,Y9,Y17,Y33,Y48,Y54,Y61,Y86,Y107,Y116,Y84)</f>
        <v>651265.06288146973</v>
      </c>
      <c r="Z127" s="96">
        <f t="shared" si="32"/>
        <v>-3.5379599139560014E-3</v>
      </c>
    </row>
    <row r="128" spans="1:26" x14ac:dyDescent="0.2">
      <c r="B128" s="6" t="s">
        <v>12</v>
      </c>
      <c r="C128" s="34"/>
      <c r="D128" s="25"/>
      <c r="E128" s="150">
        <f t="shared" ref="E128:R128" si="34">E127-E129-E130</f>
        <v>26577.959012031555</v>
      </c>
      <c r="F128" s="150">
        <f t="shared" si="34"/>
        <v>1114.9694529032695</v>
      </c>
      <c r="G128" s="149">
        <f t="shared" si="34"/>
        <v>25502.305816974356</v>
      </c>
      <c r="H128" s="149">
        <f t="shared" si="34"/>
        <v>2273.0789947509766</v>
      </c>
      <c r="I128" s="149">
        <f t="shared" si="34"/>
        <v>350</v>
      </c>
      <c r="J128" s="149">
        <f t="shared" si="34"/>
        <v>0</v>
      </c>
      <c r="K128" s="149">
        <f t="shared" si="34"/>
        <v>654.07899475097656</v>
      </c>
      <c r="L128" s="149">
        <f t="shared" si="34"/>
        <v>1269</v>
      </c>
      <c r="M128" s="149">
        <f t="shared" si="34"/>
        <v>0</v>
      </c>
      <c r="N128" s="149">
        <f t="shared" si="34"/>
        <v>73.111000061035156</v>
      </c>
      <c r="O128" s="149">
        <f t="shared" si="34"/>
        <v>0</v>
      </c>
      <c r="P128" s="149">
        <f t="shared" si="34"/>
        <v>583.83835601806641</v>
      </c>
      <c r="Q128" s="149">
        <f t="shared" si="34"/>
        <v>22572.28045040369</v>
      </c>
      <c r="R128" s="149">
        <f t="shared" si="34"/>
        <v>14809.867737293243</v>
      </c>
      <c r="S128" s="149">
        <f>S127</f>
        <v>1592.4127278923988</v>
      </c>
      <c r="T128" s="149">
        <f>T127</f>
        <v>6169.9999914169312</v>
      </c>
      <c r="U128" s="151">
        <f>U127-U129</f>
        <v>0</v>
      </c>
      <c r="V128" s="149">
        <f>V127-V129-V130</f>
        <v>39.316257846076041</v>
      </c>
      <c r="W128" s="26"/>
      <c r="X128" s="69"/>
      <c r="Y128" s="70"/>
      <c r="Z128" s="96">
        <f t="shared" si="32"/>
        <v>-2.9842594085494056E-3</v>
      </c>
    </row>
    <row r="129" spans="1:26" x14ac:dyDescent="0.2">
      <c r="B129" s="13" t="s">
        <v>13</v>
      </c>
      <c r="C129" s="37"/>
      <c r="D129" s="29"/>
      <c r="E129" s="152">
        <f>SUM(E16,E58,E80,E102)</f>
        <v>25301.600024223328</v>
      </c>
      <c r="F129" s="152">
        <f>SUM(F16,F58,F80,F102)</f>
        <v>10431.64899995041</v>
      </c>
      <c r="G129" s="153">
        <f>SUM(G16,G58,G80,G102)</f>
        <v>14869.951024272919</v>
      </c>
      <c r="H129" s="153">
        <f>SUM(H16,H58,H80,H102)</f>
        <v>700.8</v>
      </c>
      <c r="I129" s="153">
        <f>SUM(I16,I58,I80,I102)</f>
        <v>233.6</v>
      </c>
      <c r="J129" s="153">
        <f>J16</f>
        <v>0</v>
      </c>
      <c r="K129" s="153">
        <f t="shared" ref="K129:R129" si="35">SUM(K16,K58,K80,K102)</f>
        <v>467.2</v>
      </c>
      <c r="L129" s="153">
        <f t="shared" si="35"/>
        <v>0</v>
      </c>
      <c r="M129" s="153">
        <f t="shared" si="35"/>
        <v>0</v>
      </c>
      <c r="N129" s="153">
        <f t="shared" si="35"/>
        <v>0</v>
      </c>
      <c r="O129" s="153">
        <f t="shared" si="35"/>
        <v>0</v>
      </c>
      <c r="P129" s="153">
        <f t="shared" si="35"/>
        <v>0</v>
      </c>
      <c r="Q129" s="153">
        <f t="shared" si="35"/>
        <v>14169.151577973418</v>
      </c>
      <c r="R129" s="153">
        <f t="shared" si="35"/>
        <v>12744.992749810219</v>
      </c>
      <c r="S129" s="153" t="s">
        <v>23</v>
      </c>
      <c r="T129" s="154" t="s">
        <v>23</v>
      </c>
      <c r="U129" s="154">
        <f>SUM(U16,U58,U80,U102)</f>
        <v>1424.1588281631998</v>
      </c>
      <c r="V129" s="149">
        <f>SUM(V16,V58,V80,V102)</f>
        <v>0</v>
      </c>
      <c r="W129" s="26"/>
      <c r="X129" s="69"/>
      <c r="Y129" s="71"/>
      <c r="Z129" s="96">
        <f t="shared" si="32"/>
        <v>-5.5370049994962756E-4</v>
      </c>
    </row>
    <row r="130" spans="1:26" s="84" customFormat="1" x14ac:dyDescent="0.2">
      <c r="A130" s="51"/>
      <c r="B130" s="13" t="s">
        <v>126</v>
      </c>
      <c r="C130" s="37"/>
      <c r="D130" s="29"/>
      <c r="E130" s="152">
        <f>E23+E24+E25+E26+E27+E28+E29+E30+E56+E111+E112+E113+E114+E115+E122+E123</f>
        <v>225.19799995422363</v>
      </c>
      <c r="F130" s="152">
        <f>F23+F24+F25+F26+F27+F28+F29+F30+F56+F111+F112+F113+F114+F115+F122+F123</f>
        <v>225.19799995422363</v>
      </c>
      <c r="G130" s="152">
        <f>G23+G24+G25+G26+G27+G28+G29+G30+G56+G111+G112+G113+G114+G115+G122+G123</f>
        <v>0</v>
      </c>
      <c r="H130" s="152">
        <f>H23+H24+H25+H26+H27+H28+H29+H30+H56+H111+H112+H113+H114+H115+H122+H123</f>
        <v>0</v>
      </c>
      <c r="I130" s="152"/>
      <c r="J130" s="152"/>
      <c r="K130" s="152"/>
      <c r="L130" s="152"/>
      <c r="M130" s="152"/>
      <c r="N130" s="152"/>
      <c r="O130" s="152"/>
      <c r="P130" s="152"/>
      <c r="Q130" s="153">
        <f>Q23+Q24+Q25+Q26+Q27+Q28+Q56+Q111+Q112+Q113+Q114+Q115+Q122+Q123</f>
        <v>0</v>
      </c>
      <c r="R130" s="153">
        <f>R23+R24+R25+R26+R27+R28+R29+R30+R56+R111+R112+R113+R114+R115+R122+R123</f>
        <v>0</v>
      </c>
      <c r="S130" s="153" t="s">
        <v>23</v>
      </c>
      <c r="T130" s="154" t="s">
        <v>23</v>
      </c>
      <c r="U130" s="154" t="s">
        <v>23</v>
      </c>
      <c r="V130" s="149">
        <f>V23+V24+V25+V26+V27+V28+V29+V30+V56+V111+V112+V113+V114+V115+V122+V123</f>
        <v>0</v>
      </c>
      <c r="W130" s="26"/>
      <c r="X130" s="69"/>
      <c r="Y130" s="71"/>
      <c r="Z130" s="96">
        <f t="shared" si="32"/>
        <v>0</v>
      </c>
    </row>
    <row r="131" spans="1:26" x14ac:dyDescent="0.2">
      <c r="B131" s="6" t="s">
        <v>119</v>
      </c>
      <c r="C131" s="34"/>
      <c r="D131" s="2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49"/>
      <c r="R131" s="149">
        <f>965.156+912.025+148.096+968.944+6.23+403.594+1402.361+811.186</f>
        <v>5617.5919999999996</v>
      </c>
      <c r="S131" s="149">
        <f>129.844+88.94+4.968+47.197+0+2.406+86.464+84.814</f>
        <v>444.63299999999992</v>
      </c>
      <c r="T131" s="149">
        <f>368.947+273.5+82.7+253+0+0+427.7+368.9</f>
        <v>1774.7469999999998</v>
      </c>
      <c r="U131" s="151" t="s">
        <v>23</v>
      </c>
      <c r="V131" s="149"/>
      <c r="W131" s="26"/>
      <c r="X131" s="69"/>
      <c r="Y131" s="71"/>
      <c r="Z131" s="96">
        <f t="shared" si="32"/>
        <v>0</v>
      </c>
    </row>
    <row r="132" spans="1:26" x14ac:dyDescent="0.2">
      <c r="B132" s="6" t="s">
        <v>123</v>
      </c>
      <c r="C132" s="34"/>
      <c r="D132" s="25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>
        <f>37.589+786.946+135.694+2173.421+0+0+1602.039+0</f>
        <v>4735.6889999999994</v>
      </c>
      <c r="S132" s="149">
        <f>4.768+83.054+4.306+120.627+0+0+69.136+0</f>
        <v>281.89099999999996</v>
      </c>
      <c r="T132" s="149">
        <f>42.85+160+0+1320.079+0+0+837.44+27</f>
        <v>2387.3689999999997</v>
      </c>
      <c r="U132" s="151" t="s">
        <v>23</v>
      </c>
      <c r="V132" s="149"/>
      <c r="W132" s="26"/>
      <c r="X132" s="69"/>
      <c r="Y132" s="71"/>
      <c r="Z132" s="96">
        <f t="shared" si="32"/>
        <v>0</v>
      </c>
    </row>
    <row r="133" spans="1:26" x14ac:dyDescent="0.2">
      <c r="B133" s="65" t="s">
        <v>45</v>
      </c>
      <c r="C133" s="34"/>
      <c r="D133" s="25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>
        <f>1502.552+136.016+291.433</f>
        <v>1930.001</v>
      </c>
      <c r="S133" s="149">
        <f>256.479+9.154+104.321</f>
        <v>369.95399999999995</v>
      </c>
      <c r="T133" s="149">
        <f>663.3+0+62</f>
        <v>725.3</v>
      </c>
      <c r="U133" s="151" t="s">
        <v>23</v>
      </c>
      <c r="V133" s="149"/>
      <c r="W133" s="26"/>
      <c r="X133" s="69"/>
      <c r="Y133" s="71"/>
      <c r="Z133" s="96">
        <f t="shared" si="32"/>
        <v>0</v>
      </c>
    </row>
    <row r="134" spans="1:26" x14ac:dyDescent="0.2">
      <c r="B134" s="13" t="s">
        <v>124</v>
      </c>
      <c r="C134" s="37"/>
      <c r="D134" s="29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>
        <f>361.96+493.375+454.186</f>
        <v>1309.521</v>
      </c>
      <c r="S134" s="153">
        <f>148.04+126.625+210.814</f>
        <v>485.47899999999993</v>
      </c>
      <c r="T134" s="153">
        <f>600+400+0</f>
        <v>1000</v>
      </c>
      <c r="U134" s="154"/>
      <c r="V134" s="149"/>
      <c r="W134" s="28"/>
      <c r="X134" s="30"/>
      <c r="Y134" s="71"/>
      <c r="Z134" s="96">
        <f t="shared" si="32"/>
        <v>0</v>
      </c>
    </row>
    <row r="135" spans="1:26" ht="13.5" thickBot="1" x14ac:dyDescent="0.25">
      <c r="B135" s="13" t="s">
        <v>46</v>
      </c>
      <c r="C135" s="37"/>
      <c r="D135" s="29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>
        <f>R128-R131-R132-R133-R134</f>
        <v>1217.0647372932433</v>
      </c>
      <c r="S135" s="153">
        <f>S128-S131-S132-S133-S134</f>
        <v>10.455727892399182</v>
      </c>
      <c r="T135" s="153">
        <f>T128-T131-T132-T133-T134</f>
        <v>282.58399141693212</v>
      </c>
      <c r="U135" s="154"/>
      <c r="V135" s="153"/>
      <c r="W135" s="28"/>
      <c r="X135" s="30"/>
      <c r="Y135" s="71"/>
      <c r="Z135" s="96">
        <f t="shared" si="32"/>
        <v>0</v>
      </c>
    </row>
    <row r="136" spans="1:26" x14ac:dyDescent="0.2">
      <c r="B136" s="12" t="s">
        <v>33</v>
      </c>
      <c r="C136" s="36"/>
      <c r="D136" s="24"/>
      <c r="E136" s="144">
        <f t="shared" ref="E136:T136" si="36">E4+E9+E17+E33+E48+E54+E62+E84</f>
        <v>31613.087028503418</v>
      </c>
      <c r="F136" s="145">
        <f t="shared" si="36"/>
        <v>8483.6174194598207</v>
      </c>
      <c r="G136" s="145">
        <f t="shared" si="36"/>
        <v>23163.346377069167</v>
      </c>
      <c r="H136" s="146">
        <f t="shared" si="36"/>
        <v>1728.5789947509766</v>
      </c>
      <c r="I136" s="146">
        <f t="shared" si="36"/>
        <v>60</v>
      </c>
      <c r="J136" s="146">
        <f t="shared" si="36"/>
        <v>0</v>
      </c>
      <c r="K136" s="146">
        <f t="shared" si="36"/>
        <v>563.57899475097656</v>
      </c>
      <c r="L136" s="145">
        <f t="shared" si="36"/>
        <v>1105</v>
      </c>
      <c r="M136" s="147">
        <f t="shared" si="36"/>
        <v>0</v>
      </c>
      <c r="N136" s="147">
        <f t="shared" si="36"/>
        <v>73.111000061035156</v>
      </c>
      <c r="O136" s="147">
        <f t="shared" si="36"/>
        <v>0</v>
      </c>
      <c r="P136" s="147">
        <f t="shared" si="36"/>
        <v>483.83835601806641</v>
      </c>
      <c r="Q136" s="147">
        <f t="shared" si="36"/>
        <v>20877.812842772972</v>
      </c>
      <c r="R136" s="147">
        <f t="shared" si="36"/>
        <v>15581.560739365577</v>
      </c>
      <c r="S136" s="147">
        <f t="shared" si="36"/>
        <v>714.45593935251236</v>
      </c>
      <c r="T136" s="145">
        <f t="shared" si="36"/>
        <v>4053.6999769210815</v>
      </c>
      <c r="U136" s="148">
        <f>U9+U54+U62</f>
        <v>528.09618713379996</v>
      </c>
      <c r="V136" s="146">
        <f>V4+V9+V17+V33+V48+V54+V62+V84</f>
        <v>33.876768025569618</v>
      </c>
      <c r="W136" s="22">
        <f>W4+W9+W17+W33+W48+W54+W62+W84</f>
        <v>17539.559448242188</v>
      </c>
      <c r="X136" s="93"/>
      <c r="Y136" s="71"/>
      <c r="Z136" s="96">
        <f t="shared" si="32"/>
        <v>5.1834661171596963E-3</v>
      </c>
    </row>
    <row r="137" spans="1:26" x14ac:dyDescent="0.2">
      <c r="B137" s="6" t="s">
        <v>34</v>
      </c>
      <c r="C137" s="34"/>
      <c r="D137" s="44"/>
      <c r="E137" s="155">
        <f>E136-E139-E138</f>
        <v>18271.689028739929</v>
      </c>
      <c r="F137" s="155">
        <f>F136-F139-F138</f>
        <v>785.19641955518819</v>
      </c>
      <c r="G137" s="155">
        <f>G136-G139-G138</f>
        <v>17520.369377210311</v>
      </c>
      <c r="H137" s="155">
        <f>H136-H139-H138</f>
        <v>1728.5789947509766</v>
      </c>
      <c r="I137" s="155">
        <f>I136-I139-I138</f>
        <v>60</v>
      </c>
      <c r="J137" s="155">
        <f>J136-J138</f>
        <v>0</v>
      </c>
      <c r="K137" s="155">
        <f t="shared" ref="K137:R137" si="37">K136-K139-K138</f>
        <v>563.57899475097656</v>
      </c>
      <c r="L137" s="155">
        <f t="shared" si="37"/>
        <v>1105</v>
      </c>
      <c r="M137" s="155">
        <f t="shared" si="37"/>
        <v>0</v>
      </c>
      <c r="N137" s="155">
        <f t="shared" si="37"/>
        <v>73.111000061035156</v>
      </c>
      <c r="O137" s="155">
        <f t="shared" si="37"/>
        <v>0</v>
      </c>
      <c r="P137" s="155">
        <f t="shared" si="37"/>
        <v>483.83835601806641</v>
      </c>
      <c r="Q137" s="155">
        <f t="shared" si="37"/>
        <v>15234.835922506809</v>
      </c>
      <c r="R137" s="155">
        <f t="shared" si="37"/>
        <v>10466.680006233215</v>
      </c>
      <c r="S137" s="155">
        <f>S136</f>
        <v>714.45593935251236</v>
      </c>
      <c r="T137" s="155">
        <f>T136</f>
        <v>4053.6999769210815</v>
      </c>
      <c r="U137" s="155">
        <v>0</v>
      </c>
      <c r="V137" s="155">
        <f>V136-V139-V138</f>
        <v>33.876768025569618</v>
      </c>
      <c r="W137" s="26"/>
      <c r="X137" s="94"/>
      <c r="Y137" s="71"/>
      <c r="Z137" s="96">
        <f t="shared" si="32"/>
        <v>5.1038734236499295E-3</v>
      </c>
    </row>
    <row r="138" spans="1:26" s="84" customFormat="1" x14ac:dyDescent="0.2">
      <c r="A138" s="51"/>
      <c r="B138" s="6" t="s">
        <v>127</v>
      </c>
      <c r="C138" s="37"/>
      <c r="D138" s="45"/>
      <c r="E138" s="152">
        <f>E130-E142</f>
        <v>125.19799995422363</v>
      </c>
      <c r="F138" s="152">
        <f>F130-F142</f>
        <v>125.19799995422363</v>
      </c>
      <c r="G138" s="152">
        <f>G130-G142</f>
        <v>0</v>
      </c>
      <c r="H138" s="152">
        <f t="shared" ref="H138:P138" si="38">H130</f>
        <v>0</v>
      </c>
      <c r="I138" s="152">
        <f t="shared" si="38"/>
        <v>0</v>
      </c>
      <c r="J138" s="152">
        <f t="shared" si="38"/>
        <v>0</v>
      </c>
      <c r="K138" s="152">
        <f t="shared" si="38"/>
        <v>0</v>
      </c>
      <c r="L138" s="152">
        <f t="shared" si="38"/>
        <v>0</v>
      </c>
      <c r="M138" s="152">
        <f t="shared" si="38"/>
        <v>0</v>
      </c>
      <c r="N138" s="152">
        <f t="shared" si="38"/>
        <v>0</v>
      </c>
      <c r="O138" s="152">
        <f t="shared" si="38"/>
        <v>0</v>
      </c>
      <c r="P138" s="152">
        <f t="shared" si="38"/>
        <v>0</v>
      </c>
      <c r="Q138" s="152">
        <f>Q130-Q142</f>
        <v>0</v>
      </c>
      <c r="R138" s="152">
        <f>R130-R142</f>
        <v>0</v>
      </c>
      <c r="S138" s="152" t="str">
        <f>S130</f>
        <v>-</v>
      </c>
      <c r="T138" s="152" t="str">
        <f>T130</f>
        <v>-</v>
      </c>
      <c r="U138" s="152" t="str">
        <f>U130</f>
        <v>-</v>
      </c>
      <c r="V138" s="152">
        <f>V130-V142</f>
        <v>0</v>
      </c>
      <c r="W138" s="28"/>
      <c r="X138" s="97"/>
      <c r="Y138" s="71"/>
      <c r="Z138" s="96">
        <f t="shared" si="32"/>
        <v>0</v>
      </c>
    </row>
    <row r="139" spans="1:26" ht="13.5" thickBot="1" x14ac:dyDescent="0.25">
      <c r="B139" s="7" t="s">
        <v>35</v>
      </c>
      <c r="C139" s="35"/>
      <c r="D139" s="46"/>
      <c r="E139" s="156">
        <f>E16+E58+E81+E83</f>
        <v>13216.199999809265</v>
      </c>
      <c r="F139" s="156">
        <f>F16+F58+F81+F83</f>
        <v>7573.2229999504088</v>
      </c>
      <c r="G139" s="156">
        <f>G16+G58+G81+G83</f>
        <v>5642.9769998588563</v>
      </c>
      <c r="H139" s="156">
        <f>H16+H58+H81+H83</f>
        <v>0</v>
      </c>
      <c r="I139" s="156">
        <f>I16+I58+I81</f>
        <v>0</v>
      </c>
      <c r="J139" s="156">
        <v>0</v>
      </c>
      <c r="K139" s="156">
        <f>K16+K58+K81</f>
        <v>0</v>
      </c>
      <c r="L139" s="156">
        <f>L16+L58+L81</f>
        <v>0</v>
      </c>
      <c r="M139" s="156">
        <f>M16+M58+M81</f>
        <v>0</v>
      </c>
      <c r="N139" s="156">
        <f>N16+N58+N81</f>
        <v>0</v>
      </c>
      <c r="O139" s="156">
        <f>O16+O58+O81+O83</f>
        <v>0</v>
      </c>
      <c r="P139" s="156">
        <f>P16+P58+P81+P83</f>
        <v>0</v>
      </c>
      <c r="Q139" s="156">
        <f>Q16+Q58+Q81+Q83</f>
        <v>5642.9769202661628</v>
      </c>
      <c r="R139" s="156">
        <f>R16+R58+R81+R83</f>
        <v>5114.8807331323624</v>
      </c>
      <c r="S139" s="156">
        <v>0</v>
      </c>
      <c r="T139" s="156">
        <v>0</v>
      </c>
      <c r="U139" s="156">
        <f>U16+U58+U81</f>
        <v>528.09618713379996</v>
      </c>
      <c r="V139" s="156">
        <f>V16+V58+V81+V83</f>
        <v>0</v>
      </c>
      <c r="W139" s="32"/>
      <c r="X139" s="95"/>
      <c r="Y139" s="71"/>
      <c r="Z139" s="96">
        <f t="shared" si="32"/>
        <v>7.9592693509766832E-5</v>
      </c>
    </row>
    <row r="140" spans="1:26" x14ac:dyDescent="0.2">
      <c r="B140" s="12" t="s">
        <v>125</v>
      </c>
      <c r="C140" s="33"/>
      <c r="D140" s="63"/>
      <c r="E140" s="144">
        <f t="shared" ref="E140:T140" si="39">E63+E86+E107+E116</f>
        <v>20491.669998168945</v>
      </c>
      <c r="F140" s="145">
        <f t="shared" si="39"/>
        <v>3288.1995276222228</v>
      </c>
      <c r="G140" s="145">
        <f t="shared" si="39"/>
        <v>17208.909960367229</v>
      </c>
      <c r="H140" s="146">
        <f t="shared" si="39"/>
        <v>1245.3</v>
      </c>
      <c r="I140" s="146">
        <f t="shared" si="39"/>
        <v>523.6</v>
      </c>
      <c r="J140" s="146">
        <f t="shared" si="39"/>
        <v>0</v>
      </c>
      <c r="K140" s="146">
        <f t="shared" si="39"/>
        <v>557.70000000000005</v>
      </c>
      <c r="L140" s="145">
        <f t="shared" si="39"/>
        <v>164</v>
      </c>
      <c r="M140" s="147">
        <f t="shared" si="39"/>
        <v>0</v>
      </c>
      <c r="N140" s="147">
        <f t="shared" si="39"/>
        <v>0</v>
      </c>
      <c r="O140" s="147">
        <f t="shared" si="39"/>
        <v>0</v>
      </c>
      <c r="P140" s="147">
        <f t="shared" si="39"/>
        <v>100</v>
      </c>
      <c r="Q140" s="147">
        <f t="shared" si="39"/>
        <v>15863.618689184232</v>
      </c>
      <c r="R140" s="147">
        <f t="shared" si="39"/>
        <v>11973.299251317978</v>
      </c>
      <c r="S140" s="147">
        <f t="shared" si="39"/>
        <v>877.95678853988647</v>
      </c>
      <c r="T140" s="145">
        <f t="shared" si="39"/>
        <v>2116.3000144958496</v>
      </c>
      <c r="U140" s="148">
        <f>U63+U86</f>
        <v>896.06264102939997</v>
      </c>
      <c r="V140" s="149">
        <f>V63+V86+V107+V116</f>
        <v>5.4394898205064237</v>
      </c>
      <c r="W140" s="22">
        <f>W116+W107+W86+W63</f>
        <v>10168.410949707031</v>
      </c>
      <c r="X140" s="31"/>
      <c r="Y140" s="71"/>
      <c r="Z140" s="96">
        <f t="shared" si="32"/>
        <v>-8.7288170016108779E-3</v>
      </c>
    </row>
    <row r="141" spans="1:26" x14ac:dyDescent="0.2">
      <c r="B141" s="11" t="s">
        <v>34</v>
      </c>
      <c r="C141" s="37"/>
      <c r="D141" s="45"/>
      <c r="E141" s="152">
        <f>E140-E143-E142</f>
        <v>8306.2699737548828</v>
      </c>
      <c r="F141" s="152">
        <f>F140-F143-F142</f>
        <v>329.77352762222245</v>
      </c>
      <c r="G141" s="152">
        <f>G140-G143-G142</f>
        <v>7981.9359359531663</v>
      </c>
      <c r="H141" s="152">
        <f t="shared" ref="H141:P141" si="40">H140-H143</f>
        <v>544.5</v>
      </c>
      <c r="I141" s="152">
        <f t="shared" si="40"/>
        <v>290</v>
      </c>
      <c r="J141" s="152">
        <f t="shared" si="40"/>
        <v>0</v>
      </c>
      <c r="K141" s="152">
        <f t="shared" si="40"/>
        <v>90.500000000000057</v>
      </c>
      <c r="L141" s="152">
        <f t="shared" si="40"/>
        <v>164</v>
      </c>
      <c r="M141" s="152">
        <f t="shared" si="40"/>
        <v>0</v>
      </c>
      <c r="N141" s="152">
        <f t="shared" si="40"/>
        <v>0</v>
      </c>
      <c r="O141" s="152">
        <f t="shared" si="40"/>
        <v>0</v>
      </c>
      <c r="P141" s="152">
        <f t="shared" si="40"/>
        <v>100</v>
      </c>
      <c r="Q141" s="152">
        <f>Q140-Q143-Q142</f>
        <v>7337.4440314769745</v>
      </c>
      <c r="R141" s="152">
        <f>R140-R143-R142</f>
        <v>4343.1872346401215</v>
      </c>
      <c r="S141" s="152">
        <f>S140-S143</f>
        <v>877.95678853988647</v>
      </c>
      <c r="T141" s="152">
        <f>T140-T143</f>
        <v>2116.3000144958496</v>
      </c>
      <c r="U141" s="152">
        <v>0</v>
      </c>
      <c r="V141" s="152">
        <f>V140-V143-V142</f>
        <v>5.4394898205064237</v>
      </c>
      <c r="W141" s="26"/>
      <c r="X141" s="69"/>
      <c r="Y141" s="71"/>
      <c r="Z141" s="96">
        <f t="shared" si="32"/>
        <v>-8.0955238081514835E-3</v>
      </c>
    </row>
    <row r="142" spans="1:26" s="84" customFormat="1" x14ac:dyDescent="0.2">
      <c r="A142" s="51"/>
      <c r="B142" s="6" t="s">
        <v>127</v>
      </c>
      <c r="C142" s="37"/>
      <c r="D142" s="45"/>
      <c r="E142" s="152">
        <f>E111+E112+E113+E114+E115+E122+E123</f>
        <v>100</v>
      </c>
      <c r="F142" s="152">
        <f>F111+F112+F113+F114+F115+F122+F123</f>
        <v>100</v>
      </c>
      <c r="G142" s="152">
        <f>G111+G112+G113+G114+G115+G122+G123</f>
        <v>0</v>
      </c>
      <c r="H142" s="152"/>
      <c r="I142" s="152"/>
      <c r="J142" s="152"/>
      <c r="K142" s="152"/>
      <c r="L142" s="152"/>
      <c r="M142" s="152"/>
      <c r="N142" s="152"/>
      <c r="O142" s="152"/>
      <c r="P142" s="152"/>
      <c r="Q142" s="152">
        <f>Q111+Q112+Q113+Q114+Q115+Q122+Q123</f>
        <v>0</v>
      </c>
      <c r="R142" s="152">
        <f>R111+R112+R113+R114+R115+R122+R123</f>
        <v>0</v>
      </c>
      <c r="S142" s="152"/>
      <c r="T142" s="152"/>
      <c r="U142" s="152"/>
      <c r="V142" s="152">
        <f>V111+V112+V113+V114+V115+V122+V123</f>
        <v>0</v>
      </c>
      <c r="W142" s="28"/>
      <c r="X142" s="30"/>
      <c r="Y142" s="71"/>
      <c r="Z142" s="96">
        <f t="shared" si="32"/>
        <v>0</v>
      </c>
    </row>
    <row r="143" spans="1:26" ht="13.5" thickBot="1" x14ac:dyDescent="0.25">
      <c r="B143" s="7" t="s">
        <v>35</v>
      </c>
      <c r="C143" s="35"/>
      <c r="D143" s="46"/>
      <c r="E143" s="156">
        <f>SUM(E102)+E82</f>
        <v>12085.400024414063</v>
      </c>
      <c r="F143" s="156">
        <f>SUM(F102)+F82</f>
        <v>2858.4260000000004</v>
      </c>
      <c r="G143" s="156">
        <f>SUM(G102)+G82</f>
        <v>9226.974024414063</v>
      </c>
      <c r="H143" s="156">
        <f>SUM(H102)+H82</f>
        <v>700.8</v>
      </c>
      <c r="I143" s="156">
        <f>SUM(I102)+I82</f>
        <v>233.6</v>
      </c>
      <c r="J143" s="156">
        <v>0</v>
      </c>
      <c r="K143" s="156">
        <f t="shared" ref="K143:R143" si="41">SUM(K102)+K82</f>
        <v>467.2</v>
      </c>
      <c r="L143" s="156">
        <f t="shared" si="41"/>
        <v>0</v>
      </c>
      <c r="M143" s="156">
        <f t="shared" si="41"/>
        <v>0</v>
      </c>
      <c r="N143" s="156">
        <f t="shared" si="41"/>
        <v>0</v>
      </c>
      <c r="O143" s="156">
        <f t="shared" si="41"/>
        <v>0</v>
      </c>
      <c r="P143" s="156">
        <f t="shared" si="41"/>
        <v>0</v>
      </c>
      <c r="Q143" s="156">
        <f t="shared" si="41"/>
        <v>8526.1746577072572</v>
      </c>
      <c r="R143" s="156">
        <f t="shared" si="41"/>
        <v>7630.1120166778564</v>
      </c>
      <c r="S143" s="156">
        <v>0</v>
      </c>
      <c r="T143" s="156">
        <v>0</v>
      </c>
      <c r="U143" s="156">
        <f>U140</f>
        <v>896.06264102939997</v>
      </c>
      <c r="V143" s="156">
        <f>SUM(V102)+V82</f>
        <v>0</v>
      </c>
      <c r="W143" s="32"/>
      <c r="X143" s="27"/>
      <c r="Y143" s="72"/>
      <c r="Z143" s="96">
        <f t="shared" si="32"/>
        <v>-6.3329319345939439E-4</v>
      </c>
    </row>
    <row r="144" spans="1:26" x14ac:dyDescent="0.2">
      <c r="B144" s="59" t="s">
        <v>41</v>
      </c>
      <c r="C144" s="59" t="s">
        <v>41</v>
      </c>
      <c r="D144" s="60" t="s">
        <v>41</v>
      </c>
      <c r="E144" s="61" t="s">
        <v>41</v>
      </c>
      <c r="F144" s="61" t="s">
        <v>41</v>
      </c>
      <c r="G144" s="61" t="s">
        <v>41</v>
      </c>
      <c r="H144" s="60" t="s">
        <v>41</v>
      </c>
      <c r="I144" s="62" t="s">
        <v>41</v>
      </c>
      <c r="J144" s="62" t="s">
        <v>41</v>
      </c>
      <c r="K144" s="62" t="s">
        <v>41</v>
      </c>
      <c r="L144" s="60" t="s">
        <v>41</v>
      </c>
      <c r="M144" s="58" t="s">
        <v>41</v>
      </c>
      <c r="N144" s="58" t="s">
        <v>41</v>
      </c>
      <c r="O144" s="58" t="s">
        <v>41</v>
      </c>
      <c r="P144" s="58" t="s">
        <v>41</v>
      </c>
      <c r="Q144" s="58" t="s">
        <v>41</v>
      </c>
      <c r="R144" s="58" t="s">
        <v>41</v>
      </c>
      <c r="S144" s="58" t="s">
        <v>41</v>
      </c>
      <c r="T144" s="58" t="s">
        <v>41</v>
      </c>
      <c r="U144" s="58" t="s">
        <v>41</v>
      </c>
      <c r="V144" s="86"/>
      <c r="W144" s="58" t="s">
        <v>41</v>
      </c>
      <c r="X144" s="58" t="s">
        <v>41</v>
      </c>
      <c r="Y144" s="56" t="s">
        <v>41</v>
      </c>
    </row>
    <row r="145" spans="1:22" x14ac:dyDescent="0.2">
      <c r="B145" s="171"/>
      <c r="C145" s="171"/>
      <c r="D145" s="171"/>
      <c r="E145" s="99" t="s">
        <v>133</v>
      </c>
      <c r="F145" s="99" t="s">
        <v>134</v>
      </c>
      <c r="G145" s="99" t="s">
        <v>135</v>
      </c>
      <c r="H145" s="99" t="s">
        <v>136</v>
      </c>
      <c r="I145" s="99" t="s">
        <v>137</v>
      </c>
    </row>
    <row r="146" spans="1:22" ht="13.5" customHeight="1" x14ac:dyDescent="0.2">
      <c r="B146" s="172" t="s">
        <v>168</v>
      </c>
      <c r="C146" s="172"/>
      <c r="D146" s="172"/>
      <c r="E146" s="100">
        <v>-11.2</v>
      </c>
      <c r="F146" s="101">
        <v>-17.899999999999999</v>
      </c>
      <c r="G146" s="101">
        <f>E146-F146</f>
        <v>6.6999999999999993</v>
      </c>
      <c r="H146" s="101">
        <v>-19.399999999999999</v>
      </c>
      <c r="I146" s="101">
        <f>E146-H146</f>
        <v>8.1999999999999993</v>
      </c>
    </row>
    <row r="147" spans="1:22" s="84" customFormat="1" x14ac:dyDescent="0.2">
      <c r="A147" s="51"/>
      <c r="B147" s="172" t="s">
        <v>132</v>
      </c>
      <c r="C147" s="172"/>
      <c r="D147" s="172"/>
      <c r="E147" s="100">
        <v>-11.8</v>
      </c>
      <c r="F147" s="101">
        <v>-17.3</v>
      </c>
      <c r="G147" s="101">
        <f>E147-F147</f>
        <v>5.5</v>
      </c>
      <c r="H147" s="101">
        <v>-15.4</v>
      </c>
      <c r="I147" s="101">
        <f>E147-H147</f>
        <v>3.5999999999999996</v>
      </c>
      <c r="J147" s="3"/>
      <c r="K147" s="3"/>
      <c r="L147" s="2"/>
    </row>
    <row r="148" spans="1:22" s="84" customFormat="1" x14ac:dyDescent="0.2">
      <c r="A148" s="51"/>
      <c r="B148" s="4"/>
      <c r="C148" s="4"/>
      <c r="D148" s="2"/>
      <c r="E148" s="1"/>
      <c r="F148" s="1"/>
      <c r="G148" s="1"/>
      <c r="H148" s="2"/>
      <c r="I148" s="3"/>
      <c r="J148" s="3"/>
      <c r="K148" s="3"/>
      <c r="L148" s="2"/>
    </row>
    <row r="149" spans="1:22" x14ac:dyDescent="0.2">
      <c r="B149" s="162" t="s">
        <v>29</v>
      </c>
      <c r="C149" s="163"/>
      <c r="D149" s="10">
        <v>0.95303998204264562</v>
      </c>
    </row>
    <row r="150" spans="1:22" x14ac:dyDescent="0.2">
      <c r="B150" s="157" t="s">
        <v>30</v>
      </c>
      <c r="C150" s="158"/>
      <c r="D150" s="9">
        <f>SUM(X127-W127)</f>
        <v>1055.9434967041016</v>
      </c>
      <c r="T150" s="54"/>
      <c r="U150" s="54"/>
      <c r="V150" s="85"/>
    </row>
    <row r="151" spans="1:22" x14ac:dyDescent="0.2">
      <c r="B151" s="57" t="s">
        <v>147</v>
      </c>
    </row>
    <row r="152" spans="1:22" x14ac:dyDescent="0.2">
      <c r="B152" s="64" t="s">
        <v>146</v>
      </c>
    </row>
    <row r="153" spans="1:22" x14ac:dyDescent="0.2">
      <c r="B153" s="92" t="s">
        <v>122</v>
      </c>
    </row>
    <row r="154" spans="1:22" x14ac:dyDescent="0.2">
      <c r="A154"/>
    </row>
    <row r="155" spans="1:22" x14ac:dyDescent="0.2">
      <c r="A155"/>
    </row>
    <row r="156" spans="1:22" x14ac:dyDescent="0.2">
      <c r="A156"/>
    </row>
    <row r="157" spans="1:22" x14ac:dyDescent="0.2">
      <c r="A157"/>
    </row>
    <row r="158" spans="1:22" x14ac:dyDescent="0.2">
      <c r="A158"/>
    </row>
    <row r="159" spans="1:22" x14ac:dyDescent="0.2">
      <c r="A159"/>
    </row>
    <row r="160" spans="1:22" x14ac:dyDescent="0.2">
      <c r="A160"/>
    </row>
    <row r="161" spans="1:5" x14ac:dyDescent="0.2">
      <c r="A161"/>
    </row>
    <row r="162" spans="1:5" x14ac:dyDescent="0.2">
      <c r="A162"/>
    </row>
    <row r="163" spans="1:5" x14ac:dyDescent="0.2">
      <c r="A163"/>
    </row>
    <row r="164" spans="1:5" x14ac:dyDescent="0.2">
      <c r="A164"/>
    </row>
    <row r="165" spans="1:5" x14ac:dyDescent="0.2">
      <c r="A165"/>
    </row>
    <row r="166" spans="1:5" x14ac:dyDescent="0.2">
      <c r="A166"/>
    </row>
    <row r="167" spans="1:5" x14ac:dyDescent="0.2">
      <c r="A167"/>
    </row>
    <row r="168" spans="1:5" x14ac:dyDescent="0.2">
      <c r="A168"/>
    </row>
    <row r="169" spans="1:5" x14ac:dyDescent="0.2">
      <c r="A169"/>
    </row>
    <row r="170" spans="1:5" x14ac:dyDescent="0.2">
      <c r="A170"/>
    </row>
    <row r="171" spans="1:5" x14ac:dyDescent="0.2">
      <c r="A171"/>
    </row>
    <row r="172" spans="1:5" x14ac:dyDescent="0.2">
      <c r="A172"/>
      <c r="E172" s="8"/>
    </row>
    <row r="173" spans="1:5" x14ac:dyDescent="0.2">
      <c r="A173"/>
      <c r="E173" s="8"/>
    </row>
    <row r="174" spans="1:5" x14ac:dyDescent="0.2">
      <c r="A174"/>
      <c r="E174" s="8"/>
    </row>
  </sheetData>
  <mergeCells count="55">
    <mergeCell ref="W117:Y126"/>
    <mergeCell ref="W87:Y106"/>
    <mergeCell ref="C87:C106"/>
    <mergeCell ref="V2:V3"/>
    <mergeCell ref="W55:Y60"/>
    <mergeCell ref="C55:C60"/>
    <mergeCell ref="W49:Y53"/>
    <mergeCell ref="W34:Y47"/>
    <mergeCell ref="C34:C47"/>
    <mergeCell ref="C49:C53"/>
    <mergeCell ref="D2:D3"/>
    <mergeCell ref="E2:E3"/>
    <mergeCell ref="C5:C8"/>
    <mergeCell ref="C18:C32"/>
    <mergeCell ref="F2:F3"/>
    <mergeCell ref="G2:G3"/>
    <mergeCell ref="C10:C16"/>
    <mergeCell ref="B2:B3"/>
    <mergeCell ref="C2:C3"/>
    <mergeCell ref="W108:Y111"/>
    <mergeCell ref="W64:Y83"/>
    <mergeCell ref="C62:C83"/>
    <mergeCell ref="W85:Y85"/>
    <mergeCell ref="W18:Y32"/>
    <mergeCell ref="W5:Y8"/>
    <mergeCell ref="H2:L2"/>
    <mergeCell ref="B18:B32"/>
    <mergeCell ref="B49:B53"/>
    <mergeCell ref="B34:B47"/>
    <mergeCell ref="B5:B8"/>
    <mergeCell ref="B10:B16"/>
    <mergeCell ref="W10:Y16"/>
    <mergeCell ref="W2:Y2"/>
    <mergeCell ref="O2:O3"/>
    <mergeCell ref="P2:P3"/>
    <mergeCell ref="M2:M3"/>
    <mergeCell ref="U2:U3"/>
    <mergeCell ref="N2:N3"/>
    <mergeCell ref="T2:T3"/>
    <mergeCell ref="R2:R3"/>
    <mergeCell ref="S2:S3"/>
    <mergeCell ref="Q2:Q3"/>
    <mergeCell ref="B150:C150"/>
    <mergeCell ref="B55:B60"/>
    <mergeCell ref="B149:C149"/>
    <mergeCell ref="B117:B126"/>
    <mergeCell ref="B87:B106"/>
    <mergeCell ref="C117:C126"/>
    <mergeCell ref="B108:B111"/>
    <mergeCell ref="C108:C111"/>
    <mergeCell ref="B145:D145"/>
    <mergeCell ref="B146:D146"/>
    <mergeCell ref="B147:D147"/>
    <mergeCell ref="B61:B62"/>
    <mergeCell ref="B84:B85"/>
  </mergeCells>
  <phoneticPr fontId="1" type="noConversion"/>
  <printOptions horizontalCentered="1"/>
  <pageMargins left="0.59055118110236227" right="0.59055118110236227" top="0.59055118110236227" bottom="0.59055118110236227" header="0.43307086614173229" footer="0.43307086614173229"/>
  <pageSetup paperSize="9" scale="48" fitToHeight="2" orientation="landscape" horizontalDpi="1200" verticalDpi="1200" r:id="rId1"/>
  <headerFooter alignWithMargins="0">
    <oddHeader>&amp;LСО-ОДУ Сибири</oddHeader>
    <oddFooter>&amp;CСтраница &amp;P из &amp;N</oddFooter>
  </headerFooter>
  <rowBreaks count="1" manualBreakCount="1"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Баланс мощности</vt:lpstr>
      <vt:lpstr>'Баланс мощности'!Заголовки_для_печати</vt:lpstr>
    </vt:vector>
  </TitlesOfParts>
  <Company>MATRIX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Stalker</dc:creator>
  <cp:lastModifiedBy>Александр</cp:lastModifiedBy>
  <cp:lastPrinted>2016-12-06T04:31:53Z</cp:lastPrinted>
  <dcterms:created xsi:type="dcterms:W3CDTF">2008-07-31T13:55:10Z</dcterms:created>
  <dcterms:modified xsi:type="dcterms:W3CDTF">2020-04-24T12:09:21Z</dcterms:modified>
</cp:coreProperties>
</file>